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ddr\Documents\Scandiatransplant_modelling\metaheuristic\"/>
    </mc:Choice>
  </mc:AlternateContent>
  <xr:revisionPtr revIDLastSave="0" documentId="13_ncr:1_{BEEC40FB-488E-44B2-94FD-107967766C5A}" xr6:coauthVersionLast="47" xr6:coauthVersionMax="47" xr10:uidLastSave="{00000000-0000-0000-0000-000000000000}"/>
  <bookViews>
    <workbookView xWindow="-28920" yWindow="1785" windowWidth="29040" windowHeight="15720" activeTab="1" xr2:uid="{90D588C5-8560-46EF-A81F-A53859D19916}"/>
  </bookViews>
  <sheets>
    <sheet name="SA_V2" sheetId="4" r:id="rId1"/>
    <sheet name="SA_V3" sheetId="5" r:id="rId2"/>
    <sheet name="Sa V1" sheetId="1" r:id="rId3"/>
    <sheet name="Evaluating the plane" sheetId="3" r:id="rId4"/>
    <sheet name="Hoja2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4" l="1"/>
  <c r="I23" i="1"/>
  <c r="I3" i="1"/>
  <c r="I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K2" i="5"/>
  <c r="K23" i="5" s="1"/>
  <c r="K6" i="5"/>
  <c r="K8" i="5"/>
  <c r="K16" i="5"/>
  <c r="K15" i="5"/>
  <c r="K5" i="5"/>
  <c r="K10" i="5"/>
  <c r="K11" i="5"/>
  <c r="K9" i="5"/>
  <c r="K4" i="5"/>
  <c r="K12" i="5"/>
  <c r="K3" i="5"/>
  <c r="K13" i="5"/>
  <c r="K7" i="5"/>
  <c r="K14" i="5"/>
  <c r="K17" i="5"/>
  <c r="K18" i="5"/>
  <c r="K21" i="5"/>
  <c r="K19" i="5"/>
  <c r="K20" i="5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J22" i="4"/>
  <c r="J2" i="4"/>
  <c r="J3" i="4"/>
  <c r="J4" i="4"/>
  <c r="J5" i="4"/>
  <c r="J6" i="4"/>
  <c r="J7" i="4"/>
  <c r="J8" i="4"/>
  <c r="J21" i="4"/>
  <c r="J18" i="4"/>
  <c r="J9" i="4"/>
  <c r="J19" i="4"/>
  <c r="J10" i="4"/>
  <c r="J11" i="4"/>
  <c r="J12" i="4"/>
  <c r="J13" i="4"/>
  <c r="J20" i="4"/>
  <c r="J14" i="4"/>
  <c r="J17" i="4"/>
  <c r="J15" i="4"/>
  <c r="J16" i="4"/>
</calcChain>
</file>

<file path=xl/sharedStrings.xml><?xml version="1.0" encoding="utf-8"?>
<sst xmlns="http://schemas.openxmlformats.org/spreadsheetml/2006/main" count="201" uniqueCount="184">
  <si>
    <t>sa_log_2026-02-24_17-21-29</t>
  </si>
  <si>
    <t>best_eval</t>
  </si>
  <si>
    <t>best_solution</t>
  </si>
  <si>
    <t>50.42977059852426, 533.1384373687926, 239.8241288911824</t>
  </si>
  <si>
    <t>equity_score</t>
  </si>
  <si>
    <t>sa_log_2026-02-24_18-07-44</t>
  </si>
  <si>
    <t>435.36119934621195, 428.6191664981259, 247.02647070927168</t>
  </si>
  <si>
    <t>sa_log_2026-02-24_18-50-18</t>
  </si>
  <si>
    <t>770.7410497856404, 809.6210470507405, 475.19358578124775</t>
  </si>
  <si>
    <t>sa_log_2026-02-24_19-33-15</t>
  </si>
  <si>
    <t>331.4258160833747, 338.8022637431375, 202.15800030408593</t>
  </si>
  <si>
    <t>sa_log_2026-02-24_20-12-44</t>
  </si>
  <si>
    <t>153.40962050802034, 431.97026123166125, 263.4805787189938</t>
  </si>
  <si>
    <t>sa_log_2026-02-24_20-52-18</t>
  </si>
  <si>
    <t>699.0735367830417, 576.1027391912332, 420.02540157191936</t>
  </si>
  <si>
    <t>sa_log_2026-02-24_21-31-59</t>
  </si>
  <si>
    <t>293.8362371863052, 235.79828647655347, 186.50306427744778</t>
  </si>
  <si>
    <t>sa_log_2026-02-24_22-12-25</t>
  </si>
  <si>
    <t>331.6632341913196, 506.78312259842846, 86.15051341209734</t>
  </si>
  <si>
    <t>sa_log_2026-02-24_22-52-48</t>
  </si>
  <si>
    <t>720.6734519482881, 282.6927357634646, 210.89759072832572</t>
  </si>
  <si>
    <t>sa_log_2026-02-24_23-31-52</t>
  </si>
  <si>
    <t>729.3697150038471, 792.1398195449633, 475.24600669394374</t>
  </si>
  <si>
    <t>sa_log_2026-02-25_00-10-58</t>
  </si>
  <si>
    <t>298.9321759080463, 213.34490369371156, 175.78297308849474</t>
  </si>
  <si>
    <t>sa_log_2026-02-25_00-49-58</t>
  </si>
  <si>
    <t>977.7739190844527, 878.8138567406663, 620.4925309255979</t>
  </si>
  <si>
    <t>sa_log_2026-02-25_01-29-03</t>
  </si>
  <si>
    <t>167.19152434448924, 5.755468786782638, 118.52157767684793</t>
  </si>
  <si>
    <t>sa_log_2026-02-25_02-08-05</t>
  </si>
  <si>
    <t>515.439476046316, 462.4679519878067, 342.7589066632733</t>
  </si>
  <si>
    <t>sa_log_2026-02-25_02-47-25</t>
  </si>
  <si>
    <t>897.9248053603744, 868.8626798032985, 556.6010114592439</t>
  </si>
  <si>
    <t>sa_log_2026-02-25_09-51-51</t>
  </si>
  <si>
    <t>266.03956762824043, 222.0631885608456, 154.50440100957368</t>
  </si>
  <si>
    <t>sa_log_2026-02-25_10-37-31</t>
  </si>
  <si>
    <t>517.2494022667479, 497.18918243507534, 311.1212720832668</t>
  </si>
  <si>
    <t>sa_log_2026-02-25_11-25-22</t>
  </si>
  <si>
    <t>557.6089222392195, 541.5793595477875, 337.0920303611644</t>
  </si>
  <si>
    <t>sa_log_2026-02-25_12-12-01</t>
  </si>
  <si>
    <t>279.6887099623149, 385.3366689848432, 143.511001195082</t>
  </si>
  <si>
    <t>sa_log_2026-02-25_12-57-51</t>
  </si>
  <si>
    <t>240.8384049913941, 152.0800053226971, 144.8903566893536</t>
  </si>
  <si>
    <t>match log</t>
  </si>
  <si>
    <t>Columna1</t>
  </si>
  <si>
    <t>matching_20260225_141600</t>
  </si>
  <si>
    <t>sa_log_2026-02-25_13-37-30</t>
  </si>
  <si>
    <t>220.04756753989946, 296.89636583263774, 145.7762794043648</t>
  </si>
  <si>
    <t>Average mismatch</t>
  </si>
  <si>
    <t>Distance</t>
  </si>
  <si>
    <t>matching_20260225_143056</t>
  </si>
  <si>
    <t>matching_20260225_144421</t>
  </si>
  <si>
    <t>matching_20260225_145152</t>
  </si>
  <si>
    <t>matching_20260225_145925</t>
  </si>
  <si>
    <t>matching_20260225_150728</t>
  </si>
  <si>
    <t>matching_20260225_151710</t>
  </si>
  <si>
    <t>matching_20260225_152515</t>
  </si>
  <si>
    <t>matching_20260225_153321</t>
  </si>
  <si>
    <t>matching_20260225_154029</t>
  </si>
  <si>
    <t>Run</t>
  </si>
  <si>
    <t>matching_20260225_154931</t>
  </si>
  <si>
    <t>matching_20260225_155713</t>
  </si>
  <si>
    <t>matching_20260225_160451</t>
  </si>
  <si>
    <t>matching_20260225_161311</t>
  </si>
  <si>
    <t>matching_20260225_162229</t>
  </si>
  <si>
    <t>matching_20260225_162941</t>
  </si>
  <si>
    <t>matching_20260225_163640</t>
  </si>
  <si>
    <t>matching_20260225_164414</t>
  </si>
  <si>
    <t>matching_20260225_165257</t>
  </si>
  <si>
    <t>matching_20260225_170128</t>
  </si>
  <si>
    <t>matching_20260225_170953</t>
  </si>
  <si>
    <t>557.61,541.58,337.09</t>
  </si>
  <si>
    <t>331.43,338.80,202.16</t>
  </si>
  <si>
    <t>897.92,868.86,556.60</t>
  </si>
  <si>
    <t>517.25,497.19,311.12</t>
  </si>
  <si>
    <t>770.74,809.62,475.19</t>
  </si>
  <si>
    <t>977.77,878.81,620.49</t>
  </si>
  <si>
    <t>266.04,222.06,154.50</t>
  </si>
  <si>
    <t>729.37,792.14,475.25</t>
  </si>
  <si>
    <t>699.07,576.10,420.03</t>
  </si>
  <si>
    <t>435.36,428.62,247.03</t>
  </si>
  <si>
    <t>515.44,462.47,342.76</t>
  </si>
  <si>
    <t>293.84,235.80,186.50</t>
  </si>
  <si>
    <t>220.05,296.90,145.78</t>
  </si>
  <si>
    <t>298.93,213.34,175.78</t>
  </si>
  <si>
    <t>240.84,152.08,144.89</t>
  </si>
  <si>
    <t>279.69,385.34,143.51</t>
  </si>
  <si>
    <t>167.19,5.76,118.52</t>
  </si>
  <si>
    <t>153.41,431.97,263.48</t>
  </si>
  <si>
    <t>720.67,282.69,210.90</t>
  </si>
  <si>
    <t>331.66,506.78,86.15</t>
  </si>
  <si>
    <t>50.43,533.14,239.82</t>
  </si>
  <si>
    <t>x</t>
  </si>
  <si>
    <t>y</t>
  </si>
  <si>
    <t>z</t>
  </si>
  <si>
    <t>score</t>
  </si>
  <si>
    <t>matching_20260306_120820</t>
  </si>
  <si>
    <t>sa_log_2026-03-06_11-20-31</t>
  </si>
  <si>
    <t>sa_log_2026-03-06_12-39-20</t>
  </si>
  <si>
    <t>sa_log_2026-03-06_13-15-16</t>
  </si>
  <si>
    <t>sa_log_2026-03-06_13-42-34</t>
  </si>
  <si>
    <t>sa_log_2026-03-06_14-12-01</t>
  </si>
  <si>
    <t>sa_log_2026-03-06_14-39-16</t>
  </si>
  <si>
    <t>matching_20260306_155849</t>
  </si>
  <si>
    <t>sa_log_2026-03-06_15-06-11</t>
  </si>
  <si>
    <t>sa_log_2026-03-06_16-03-25</t>
  </si>
  <si>
    <t>sa_log_2026-03-06_16-37-22</t>
  </si>
  <si>
    <t>matching_20260306_160958</t>
  </si>
  <si>
    <t>matching_20260306_162344</t>
  </si>
  <si>
    <t>matching_20260306_163118</t>
  </si>
  <si>
    <t>matching_20260306_163853</t>
  </si>
  <si>
    <t>matching_20260306_172055</t>
  </si>
  <si>
    <t>matching_20260306_173241</t>
  </si>
  <si>
    <t>matching_20260306_175456</t>
  </si>
  <si>
    <t>sa_log_2026-03-06_17-08-19</t>
  </si>
  <si>
    <t>mismatch_w</t>
  </si>
  <si>
    <t>distance_w</t>
  </si>
  <si>
    <t>Ratio w1 w2</t>
  </si>
  <si>
    <t>sa_log_2026-03-06_17-56-38</t>
  </si>
  <si>
    <t>sa_log_2026-03-06_18-40-20</t>
  </si>
  <si>
    <t>sa_log_2026-03-06_19-08-10</t>
  </si>
  <si>
    <t>sa_log_2026-03-06_19-38-21</t>
  </si>
  <si>
    <t>sa_log_2026-03-06_20-40-31</t>
  </si>
  <si>
    <t>sa_log_2026-03-06_21-09-55</t>
  </si>
  <si>
    <t>sa_log_2026-03-06_21-38-00</t>
  </si>
  <si>
    <t>sa_log_2026-03-06_22-06-29</t>
  </si>
  <si>
    <t>sa_log_2026-03-06_22-34-45</t>
  </si>
  <si>
    <t>sa_log_2026-03-06_23-03-21</t>
  </si>
  <si>
    <t>sa_log_2026-03-06_23-31-52</t>
  </si>
  <si>
    <t>sa_log_2026-03-07_00-59-07</t>
  </si>
  <si>
    <t>sa_log_2026-03-07_01-28-05</t>
  </si>
  <si>
    <t>sa_log_2026-03-07_01-56-14</t>
  </si>
  <si>
    <t>sa_log_2026-03-07_02-24-20</t>
  </si>
  <si>
    <t>sa_log_2026-03-07_02-52-49</t>
  </si>
  <si>
    <t>sa_log_2026-03-07_03-21-00</t>
  </si>
  <si>
    <t>sa_log_2026-03-07_03-49-27</t>
  </si>
  <si>
    <t>sa_log_2026-03-07_04-17-30</t>
  </si>
  <si>
    <t>sa_log_2026-03-07_04-45-42</t>
  </si>
  <si>
    <t>sa_log_2026-03-07_05-13-45</t>
  </si>
  <si>
    <t>sa_log_2026-03-07_05-42-04</t>
  </si>
  <si>
    <t>sa_log_2026-03-07_06-10-39</t>
  </si>
  <si>
    <t>sa_log_2026-03-07_06-38-38</t>
  </si>
  <si>
    <t>sa_log_2026-03-07_07-06-36</t>
  </si>
  <si>
    <t>sa_log_2026-03-07_07-35-04</t>
  </si>
  <si>
    <t>sa_log_2026-03-07_08-03-01</t>
  </si>
  <si>
    <t>sa_log_2026-03-07_08-30-53</t>
  </si>
  <si>
    <t>sa_log_2026-03-07_08-58-57</t>
  </si>
  <si>
    <t>sa_log_2026-03-07_09-27-05</t>
  </si>
  <si>
    <t>sa_log_2026-03-07_09-55-27</t>
  </si>
  <si>
    <t>matching_20260307_122637</t>
  </si>
  <si>
    <t>matching_20260307_123609</t>
  </si>
  <si>
    <t>matching_20260307_124555</t>
  </si>
  <si>
    <t>matching_20260307_125708</t>
  </si>
  <si>
    <t>matching_20260307_132215</t>
  </si>
  <si>
    <t>matching_20260307_134603</t>
  </si>
  <si>
    <t>matching_20260307_135442</t>
  </si>
  <si>
    <t>matching_20260307_140229</t>
  </si>
  <si>
    <t>matching_20260307_141025</t>
  </si>
  <si>
    <t>matching_20260307_143414</t>
  </si>
  <si>
    <t>matching_20260307_144239</t>
  </si>
  <si>
    <t>matching_20260307_145054</t>
  </si>
  <si>
    <t>matching_20260307_152054</t>
  </si>
  <si>
    <t>matching_20260307_153119</t>
  </si>
  <si>
    <t>matching_20260307_153927</t>
  </si>
  <si>
    <t>matching_20260307_155515</t>
  </si>
  <si>
    <t>matching_20260307_161646</t>
  </si>
  <si>
    <t>matching_20260307_164129</t>
  </si>
  <si>
    <t>matching_20260307_170612</t>
  </si>
  <si>
    <t>matching_20260307_172903</t>
  </si>
  <si>
    <t>matching_20260307_175359</t>
  </si>
  <si>
    <t>matching_20260307_181808</t>
  </si>
  <si>
    <t>matching_20260307_184415</t>
  </si>
  <si>
    <t>matching_20260307_185523</t>
  </si>
  <si>
    <t>matching_20260307_190435</t>
  </si>
  <si>
    <t>matching_20260307_192104</t>
  </si>
  <si>
    <t>matching_20260307_192941</t>
  </si>
  <si>
    <t>matching_20260307_193800</t>
  </si>
  <si>
    <t>matching_20260307_194553</t>
  </si>
  <si>
    <t>matching_20260307_195338</t>
  </si>
  <si>
    <t>matching_20260307_200129</t>
  </si>
  <si>
    <t>matching_20260307_200920</t>
  </si>
  <si>
    <t>Cots of mismatch</t>
  </si>
  <si>
    <t>Cost of mismatch</t>
  </si>
  <si>
    <t>cost of 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</si>
</sst>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0000"/>
    <numFmt numFmtId="165" formatCode="0.000000"/>
    <numFmt numFmtId="166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3" borderId="1" xfId="0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2" fillId="0" borderId="0" xfId="0" applyFont="1"/>
    <xf numFmtId="166" fontId="0" fillId="0" borderId="0" xfId="0" applyNumberFormat="1"/>
    <xf numFmtId="0" fontId="0" fillId="0" borderId="0" xfId="0" applyNumberFormat="1"/>
    <xf numFmtId="0" fontId="3" fillId="0" borderId="0" xfId="0" applyFont="1"/>
    <xf numFmtId="166" fontId="0" fillId="4" borderId="0" xfId="0" applyNumberFormat="1" applyFill="1"/>
    <xf numFmtId="2" fontId="0" fillId="4" borderId="0" xfId="0" applyNumberFormat="1" applyFill="1"/>
    <xf numFmtId="165" fontId="0" fillId="4" borderId="0" xfId="0" applyNumberFormat="1" applyFill="1"/>
    <xf numFmtId="0" fontId="0" fillId="4" borderId="0" xfId="0" applyFill="1"/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165" formatCode="0.000000"/>
    </dxf>
    <dxf>
      <numFmt numFmtId="2" formatCode="0.00"/>
    </dxf>
    <dxf>
      <numFmt numFmtId="166" formatCode="0.0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165" formatCode="0.000000"/>
    </dxf>
    <dxf>
      <numFmt numFmtId="0" formatCode="General"/>
    </dxf>
    <dxf>
      <numFmt numFmtId="2" formatCode="0.00"/>
    </dxf>
    <dxf>
      <numFmt numFmtId="165" formatCode="0.000000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.000000"/>
    </dxf>
    <dxf>
      <numFmt numFmtId="2" formatCode="0.00"/>
    </dxf>
    <dxf>
      <numFmt numFmtId="166" formatCode="0.000"/>
    </dxf>
    <dxf>
      <numFmt numFmtId="2" formatCode="0.00"/>
    </dxf>
    <dxf>
      <numFmt numFmtId="2" formatCode="0.0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DB3E08-0EA0-4602-9D6B-1F799E50ACBD}" name="Tabla2" displayName="Tabla2" ref="A1:K23" totalsRowCount="1" headerRowDxfId="27" headerRowBorderDxfId="26" tableBorderDxfId="25">
  <autoFilter ref="A1:K22" xr:uid="{1EDB3E08-0EA0-4602-9D6B-1F799E50ACBD}"/>
  <sortState xmlns:xlrd2="http://schemas.microsoft.com/office/spreadsheetml/2017/richdata2" ref="A2:J22">
    <sortCondition descending="1" ref="C1:C22"/>
  </sortState>
  <tableColumns count="11">
    <tableColumn id="1" xr3:uid="{7D566F81-2CA3-46AE-9AFF-E32DFD72AF7C}" name="Run"/>
    <tableColumn id="2" xr3:uid="{654000B6-B6F3-4000-A722-192F43AEC2FF}" name="Columna1"/>
    <tableColumn id="3" xr3:uid="{E7F87D89-B003-4138-B5EF-3F406FC01AA9}" name="best_eval"/>
    <tableColumn id="10" xr3:uid="{5303D8CF-1F75-4585-A684-F0656BD02960}" name="mismatch_w" dataDxfId="21" totalsRowDxfId="6"/>
    <tableColumn id="4" xr3:uid="{4405B6C8-267C-4DF7-ACC1-0921D18B4766}" name="distance_w" dataDxfId="20" totalsRowDxfId="5"/>
    <tableColumn id="5" xr3:uid="{28D0A62B-89AF-4DD5-9635-9A67DD6AFEE6}" name="match log"/>
    <tableColumn id="6" xr3:uid="{3DADEE76-810E-4E8A-91F8-DE33D4E4B2F7}" name="Average mismatch" dataDxfId="19" totalsRowDxfId="4"/>
    <tableColumn id="7" xr3:uid="{5D261115-3890-4840-B42F-6B6E29A7B719}" name="Distance" dataDxfId="18" totalsRowDxfId="3"/>
    <tableColumn id="8" xr3:uid="{B340233E-E552-4351-B6A1-3F44AA7965B0}" name="equity_score" dataDxfId="17" totalsRowDxfId="2"/>
    <tableColumn id="9" xr3:uid="{88B0E6C8-91AA-4048-8F1A-01B0EC87113D}" name="Ratio w1 w2" dataDxfId="16" totalsRowDxfId="1">
      <calculatedColumnFormula>Tabla2[[#This Row],[mismatch_w]]/Tabla2[[#This Row],[distance_w]]</calculatedColumnFormula>
    </tableColumn>
    <tableColumn id="11" xr3:uid="{31967708-26F9-4661-97F5-486121EA99B9}" name="Cots of mismatch" totalsRowFunction="custom" dataDxfId="15" totalsRowDxfId="0">
      <calculatedColumnFormula>(Tabla2[[#This Row],[Distance]]-61810.83)/((2.44 -Tabla2[[#This Row],[Average mismatch]])*1100)</calculatedColumnFormula>
      <totalsRowFormula>SUM(K2:K16)/15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EDD92C-6A24-4C02-A69E-EAF4A19948C1}" name="Tabla3" displayName="Tabla3" ref="A1:K23" totalsRowCount="1" headerRowDxfId="24" headerRowBorderDxfId="23" tableBorderDxfId="22">
  <autoFilter ref="A1:K22" xr:uid="{DDEDD92C-6A24-4C02-A69E-EAF4A19948C1}"/>
  <sortState xmlns:xlrd2="http://schemas.microsoft.com/office/spreadsheetml/2017/richdata2" ref="A2:K22">
    <sortCondition descending="1" ref="G1:G22"/>
  </sortState>
  <tableColumns count="11">
    <tableColumn id="1" xr3:uid="{6D394A0D-845C-4539-92CF-7A1BFB0D49C9}" name="Run"/>
    <tableColumn id="2" xr3:uid="{850FCB11-EC36-4509-B1AF-9C314669DBD0}" name="Columna1"/>
    <tableColumn id="3" xr3:uid="{FA52FFFB-E24D-47EE-9FB7-4176C0680B64}" name="best_eval"/>
    <tableColumn id="4" xr3:uid="{70FC1488-A25D-41A2-933D-9B551451D7D9}" name="mismatch_w"/>
    <tableColumn id="5" xr3:uid="{8C6FE220-0612-4583-A1F1-2B804FD6BB69}" name="distance_w"/>
    <tableColumn id="6" xr3:uid="{48D69A99-F392-46BF-82CA-CAD30BEAABB9}" name="match log"/>
    <tableColumn id="7" xr3:uid="{25FEF3C0-85FB-45DC-9692-E431372801FA}" name="Average mismatch"/>
    <tableColumn id="8" xr3:uid="{4C214194-CAC3-46D0-9A22-9B7F4A4B5A4A}" name="Distance"/>
    <tableColumn id="9" xr3:uid="{6F6314E1-6BB1-4AEC-92EE-4FAA84E990B8}" name="equity_score"/>
    <tableColumn id="10" xr3:uid="{4CE52B17-55BE-4F69-9652-7CABD524B489}" name="Ratio w1 w2"/>
    <tableColumn id="11" xr3:uid="{04CCC3F6-0852-4A80-9208-50029D2C4B22}" name="Cost of mismatch" totalsRowFunction="custom" dataDxfId="14" totalsRowDxfId="7">
      <calculatedColumnFormula xml:space="preserve"> (Tabla3[[#This Row],[Distance]]-61810.83)/((2.44-Tabla3[[#This Row],[Average mismatch]])*1100)</calculatedColumnFormula>
      <totalsRowFormula>SUM(K2:K16)/15</totalsRowFormula>
    </tableColumn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E240C2-39CF-478F-86D0-D49751792C9A}" name="Tabla1" displayName="Tabla1" ref="A1:I23" totalsRowCount="1">
  <autoFilter ref="A1:I22" xr:uid="{86E240C2-39CF-478F-86D0-D49751792C9A}">
    <filterColumn colId="2">
      <filters>
        <filter val="1.755074"/>
        <filter val="1.755095"/>
        <filter val="1.755120"/>
        <filter val="1.755139"/>
        <filter val="1.755142"/>
        <filter val="1.755147"/>
      </filters>
    </filterColumn>
  </autoFilter>
  <sortState xmlns:xlrd2="http://schemas.microsoft.com/office/spreadsheetml/2017/richdata2" ref="A3:H20">
    <sortCondition descending="1" ref="H1:H22"/>
  </sortState>
  <tableColumns count="9">
    <tableColumn id="8" xr3:uid="{883421A0-50AC-436D-8DF6-AD7687F04C56}" name="Run"/>
    <tableColumn id="1" xr3:uid="{69477D73-69D2-4BD1-AEFF-94E6CAD95648}" name="Columna1"/>
    <tableColumn id="2" xr3:uid="{7DC9CF1A-E9CA-4193-AD86-A0034182B08F}" name="best_eval" dataDxfId="13" totalsRowDxfId="10"/>
    <tableColumn id="3" xr3:uid="{E64A8894-285D-4055-81ED-001E6DF5F8F0}" name="best_solution"/>
    <tableColumn id="4" xr3:uid="{0FC83BD2-0A7F-441E-98CE-C21D7F31CBCE}" name="match log"/>
    <tableColumn id="5" xr3:uid="{2273C947-75F3-469F-9AA6-740627EEC19C}" name="Average mismatch"/>
    <tableColumn id="6" xr3:uid="{57F53F87-10A1-43BA-B2F8-72D1EA20F21E}" name="Distance" dataDxfId="12" totalsRowDxfId="9"/>
    <tableColumn id="7" xr3:uid="{C3203D00-78D9-4294-AACB-D0FF44370A14}" name="equity_score"/>
    <tableColumn id="9" xr3:uid="{9E75C56F-9670-4BA5-ABF0-E412723A0313}" name="cost of mismatch" totalsRowFunction="custom" dataDxfId="11" totalsRowDxfId="8">
      <calculatedColumnFormula>(Tabla1[[#This Row],[Distance]]-61810.83)/((2.44-Tabla1[[#This Row],[Average mismatch]])*1100)</calculatedColumnFormula>
      <totalsRowFormula>SUM(I3,I9,I11,I15,I19,I20)/6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5A0C5-DF2F-4BCE-A6E5-6A3FD8B0D90A}">
  <dimension ref="A1:L28"/>
  <sheetViews>
    <sheetView workbookViewId="0">
      <selection activeCell="G16" sqref="G16:I16"/>
    </sheetView>
  </sheetViews>
  <sheetFormatPr baseColWidth="10" defaultRowHeight="15" x14ac:dyDescent="0.25"/>
  <cols>
    <col min="2" max="2" width="27.28515625" customWidth="1"/>
    <col min="3" max="4" width="18.5703125" customWidth="1"/>
    <col min="5" max="5" width="29.140625" customWidth="1"/>
    <col min="6" max="6" width="32.28515625" customWidth="1"/>
    <col min="7" max="7" width="25.42578125" customWidth="1"/>
    <col min="8" max="9" width="17.42578125" customWidth="1"/>
    <col min="10" max="10" width="22.5703125" customWidth="1"/>
    <col min="11" max="11" width="34.28515625" customWidth="1"/>
  </cols>
  <sheetData>
    <row r="1" spans="1:12" x14ac:dyDescent="0.25">
      <c r="A1" s="5" t="s">
        <v>59</v>
      </c>
      <c r="B1" s="6" t="s">
        <v>44</v>
      </c>
      <c r="C1" s="6" t="s">
        <v>1</v>
      </c>
      <c r="D1" s="6" t="s">
        <v>115</v>
      </c>
      <c r="E1" s="6" t="s">
        <v>116</v>
      </c>
      <c r="F1" s="6" t="s">
        <v>43</v>
      </c>
      <c r="G1" s="6" t="s">
        <v>48</v>
      </c>
      <c r="H1" s="6" t="s">
        <v>49</v>
      </c>
      <c r="I1" s="7" t="s">
        <v>4</v>
      </c>
      <c r="J1" s="6" t="s">
        <v>117</v>
      </c>
      <c r="K1" s="6" t="s">
        <v>181</v>
      </c>
    </row>
    <row r="2" spans="1:12" x14ac:dyDescent="0.25">
      <c r="A2">
        <v>2</v>
      </c>
      <c r="B2" t="s">
        <v>98</v>
      </c>
      <c r="C2" s="11">
        <v>1.5727422431122799</v>
      </c>
      <c r="D2" s="2">
        <v>971.196327140211</v>
      </c>
      <c r="E2" s="2">
        <v>913.58427622260001</v>
      </c>
      <c r="F2" t="s">
        <v>103</v>
      </c>
      <c r="G2" s="9">
        <v>1.80727272727272</v>
      </c>
      <c r="H2" s="2">
        <v>303823.543776009</v>
      </c>
      <c r="I2" s="3">
        <v>0.87790928015963798</v>
      </c>
      <c r="J2">
        <f>Tabla2[[#This Row],[mismatch_w]]/Tabla2[[#This Row],[distance_w]]</f>
        <v>1.0630615613874395</v>
      </c>
      <c r="K2">
        <f>(Tabla2[[#This Row],[Distance]]-61810.83)/((2.44 -Tabla2[[#This Row],[Average mismatch]])*1100)</f>
        <v>347.71941634483653</v>
      </c>
      <c r="L2" s="4"/>
    </row>
    <row r="3" spans="1:12" x14ac:dyDescent="0.25">
      <c r="A3">
        <v>3</v>
      </c>
      <c r="B3" t="s">
        <v>99</v>
      </c>
      <c r="C3" s="11">
        <v>1.5727422431122799</v>
      </c>
      <c r="D3" s="2">
        <v>391.20547966444502</v>
      </c>
      <c r="E3" s="2">
        <v>376.99985576192898</v>
      </c>
      <c r="F3" t="s">
        <v>107</v>
      </c>
      <c r="G3" s="9">
        <v>1.79727272727272</v>
      </c>
      <c r="H3" s="2">
        <v>304047.56038400601</v>
      </c>
      <c r="I3" s="3">
        <v>0.88053830611493</v>
      </c>
      <c r="J3">
        <f>Tabla2[[#This Row],[mismatch_w]]/Tabla2[[#This Row],[distance_w]]</f>
        <v>1.0376807144231024</v>
      </c>
      <c r="K3">
        <f>(Tabla2[[#This Row],[Distance]]-61810.83)/((2.44 -Tabla2[[#This Row],[Average mismatch]])*1100)</f>
        <v>342.62620987836391</v>
      </c>
    </row>
    <row r="4" spans="1:12" x14ac:dyDescent="0.25">
      <c r="A4">
        <v>4</v>
      </c>
      <c r="B4" t="s">
        <v>100</v>
      </c>
      <c r="C4" s="11">
        <v>1.5727422431122799</v>
      </c>
      <c r="D4" s="2">
        <v>51.1429296699297</v>
      </c>
      <c r="E4" s="2">
        <v>52.004636025417099</v>
      </c>
      <c r="F4" t="s">
        <v>108</v>
      </c>
      <c r="G4" s="9">
        <v>1.8081818181818099</v>
      </c>
      <c r="H4" s="2">
        <v>306265.96964544302</v>
      </c>
      <c r="I4" s="3">
        <v>0.85551973458411601</v>
      </c>
      <c r="J4">
        <f>Tabla2[[#This Row],[mismatch_w]]/Tabla2[[#This Row],[distance_w]]</f>
        <v>0.9834302012023266</v>
      </c>
      <c r="K4">
        <f>(Tabla2[[#This Row],[Distance]]-61810.83)/((2.44 -Tabla2[[#This Row],[Average mismatch]])*1100)</f>
        <v>351.73401387833064</v>
      </c>
    </row>
    <row r="5" spans="1:12" x14ac:dyDescent="0.25">
      <c r="A5">
        <v>5</v>
      </c>
      <c r="B5" t="s">
        <v>101</v>
      </c>
      <c r="C5" s="11">
        <v>1.5727422431122799</v>
      </c>
      <c r="D5" s="2">
        <v>107.19415158678299</v>
      </c>
      <c r="E5" s="2">
        <v>105.855156619376</v>
      </c>
      <c r="F5" t="s">
        <v>109</v>
      </c>
      <c r="G5" s="9">
        <v>1.8090909090909</v>
      </c>
      <c r="H5" s="2">
        <v>318538.18377070699</v>
      </c>
      <c r="I5" s="3">
        <v>0.85074955429374499</v>
      </c>
      <c r="J5">
        <f>Tabla2[[#This Row],[mismatch_w]]/Tabla2[[#This Row],[distance_w]]</f>
        <v>1.0126493126095086</v>
      </c>
      <c r="K5">
        <f>(Tabla2[[#This Row],[Distance]]-61810.83)/((2.44 -Tabla2[[#This Row],[Average mismatch]])*1100)</f>
        <v>369.92414087997588</v>
      </c>
    </row>
    <row r="6" spans="1:12" x14ac:dyDescent="0.25">
      <c r="A6">
        <v>6</v>
      </c>
      <c r="B6" t="s">
        <v>102</v>
      </c>
      <c r="C6" s="11">
        <v>1.5727422431122799</v>
      </c>
      <c r="D6" s="2">
        <v>873.39857956757396</v>
      </c>
      <c r="E6" s="2">
        <v>828.58469969218402</v>
      </c>
      <c r="F6" t="s">
        <v>110</v>
      </c>
      <c r="G6" s="9">
        <v>1.7881818181818101</v>
      </c>
      <c r="H6" s="2">
        <v>317926.70649846998</v>
      </c>
      <c r="I6" s="3">
        <v>0.83472122390202197</v>
      </c>
      <c r="J6">
        <f>Tabla2[[#This Row],[mismatch_w]]/Tabla2[[#This Row],[distance_w]]</f>
        <v>1.0540848508209699</v>
      </c>
      <c r="K6">
        <f>(Tabla2[[#This Row],[Distance]]-61810.83)/((2.44 -Tabla2[[#This Row],[Average mismatch]])*1100)</f>
        <v>357.2048486728965</v>
      </c>
    </row>
    <row r="7" spans="1:12" x14ac:dyDescent="0.25">
      <c r="A7">
        <v>7</v>
      </c>
      <c r="B7" t="s">
        <v>104</v>
      </c>
      <c r="C7" s="11">
        <v>1.5727422431122799</v>
      </c>
      <c r="D7" s="2">
        <v>367.069106645484</v>
      </c>
      <c r="E7" s="2">
        <v>358.45450085314002</v>
      </c>
      <c r="F7" t="s">
        <v>111</v>
      </c>
      <c r="G7" s="9">
        <v>1.80181818181818</v>
      </c>
      <c r="H7" s="2">
        <v>301302.76927731099</v>
      </c>
      <c r="I7" s="3">
        <v>0.87448656459218499</v>
      </c>
      <c r="J7">
        <f>Tabla2[[#This Row],[mismatch_w]]/Tabla2[[#This Row],[distance_w]]</f>
        <v>1.0240326339098569</v>
      </c>
      <c r="K7">
        <f>(Tabla2[[#This Row],[Distance]]-61810.83)/((2.44 -Tabla2[[#This Row],[Average mismatch]])*1100)</f>
        <v>341.15660865713721</v>
      </c>
    </row>
    <row r="8" spans="1:12" x14ac:dyDescent="0.25">
      <c r="A8">
        <v>8</v>
      </c>
      <c r="B8" t="s">
        <v>105</v>
      </c>
      <c r="C8" s="11">
        <v>1.5727422431122799</v>
      </c>
      <c r="D8" s="2">
        <v>314.37765776341001</v>
      </c>
      <c r="E8" s="2">
        <v>302.061158650116</v>
      </c>
      <c r="F8" t="s">
        <v>112</v>
      </c>
      <c r="G8" s="9">
        <v>1.8027272727272701</v>
      </c>
      <c r="H8" s="2">
        <v>308467.99058907002</v>
      </c>
      <c r="I8" s="3">
        <v>0.85407178497681702</v>
      </c>
      <c r="J8">
        <f>Tabla2[[#This Row],[mismatch_w]]/Tabla2[[#This Row],[distance_w]]</f>
        <v>1.0407748522462648</v>
      </c>
      <c r="K8">
        <f>(Tabla2[[#This Row],[Distance]]-61810.83)/((2.44 -Tabla2[[#This Row],[Average mismatch]])*1100)</f>
        <v>351.86470840095433</v>
      </c>
    </row>
    <row r="9" spans="1:12" x14ac:dyDescent="0.25">
      <c r="A9">
        <v>11</v>
      </c>
      <c r="B9" t="s">
        <v>118</v>
      </c>
      <c r="C9" s="11">
        <v>1.5727422431122799</v>
      </c>
      <c r="D9" s="2">
        <v>434.14893037516799</v>
      </c>
      <c r="E9" s="2">
        <v>424.03064911580702</v>
      </c>
      <c r="F9" t="s">
        <v>150</v>
      </c>
      <c r="G9" s="9">
        <v>1.7936363636363599</v>
      </c>
      <c r="H9" s="2">
        <v>313454.51400252199</v>
      </c>
      <c r="I9" s="3">
        <v>0.89244102933400005</v>
      </c>
      <c r="J9">
        <f>Tabla2[[#This Row],[mismatch_w]]/Tabla2[[#This Row],[distance_w]]</f>
        <v>1.0238621460039734</v>
      </c>
      <c r="K9">
        <f>(Tabla2[[#This Row],[Distance]]-61810.83)/((2.44 -Tabla2[[#This Row],[Average mismatch]])*1100)</f>
        <v>353.92923207105565</v>
      </c>
    </row>
    <row r="10" spans="1:12" x14ac:dyDescent="0.25">
      <c r="A10">
        <v>13</v>
      </c>
      <c r="B10" t="s">
        <v>120</v>
      </c>
      <c r="C10" s="11">
        <v>1.5727422431122799</v>
      </c>
      <c r="D10" s="2">
        <v>420.82173827692299</v>
      </c>
      <c r="E10" s="2">
        <v>420.38725991794001</v>
      </c>
      <c r="F10" t="s">
        <v>152</v>
      </c>
      <c r="G10" s="9">
        <v>1.8036363636363599</v>
      </c>
      <c r="H10" s="2">
        <v>315216.061976047</v>
      </c>
      <c r="I10" s="3">
        <v>0.83989421301021405</v>
      </c>
      <c r="J10">
        <f>Tabla2[[#This Row],[mismatch_w]]/Tabla2[[#This Row],[distance_w]]</f>
        <v>1.0010335193294577</v>
      </c>
      <c r="K10">
        <f>(Tabla2[[#This Row],[Distance]]-61810.83)/((2.44 -Tabla2[[#This Row],[Average mismatch]])*1100)</f>
        <v>362.00747425149365</v>
      </c>
    </row>
    <row r="11" spans="1:12" x14ac:dyDescent="0.25">
      <c r="A11">
        <v>14</v>
      </c>
      <c r="B11" t="s">
        <v>121</v>
      </c>
      <c r="C11" s="11">
        <v>1.5727422431122799</v>
      </c>
      <c r="D11" s="2">
        <v>272.979674928625</v>
      </c>
      <c r="E11" s="2">
        <v>272.05672288388001</v>
      </c>
      <c r="F11" t="s">
        <v>153</v>
      </c>
      <c r="G11" s="9">
        <v>1.7963636363636299</v>
      </c>
      <c r="H11" s="2">
        <v>321487.84195337998</v>
      </c>
      <c r="I11" s="3">
        <v>0.87729028227749395</v>
      </c>
      <c r="J11">
        <f>Tabla2[[#This Row],[mismatch_w]]/Tabla2[[#This Row],[distance_w]]</f>
        <v>1.0033924985751552</v>
      </c>
      <c r="K11">
        <f>(Tabla2[[#This Row],[Distance]]-61810.83)/((2.44 -Tabla2[[#This Row],[Average mismatch]])*1100)</f>
        <v>366.77544061211495</v>
      </c>
    </row>
    <row r="12" spans="1:12" x14ac:dyDescent="0.25">
      <c r="A12">
        <v>15</v>
      </c>
      <c r="B12" t="s">
        <v>122</v>
      </c>
      <c r="C12" s="11">
        <v>1.5727422431122799</v>
      </c>
      <c r="D12" s="2">
        <v>998.40288781049503</v>
      </c>
      <c r="E12" s="2">
        <v>968.760443203519</v>
      </c>
      <c r="F12" t="s">
        <v>154</v>
      </c>
      <c r="G12" s="9">
        <v>1.7854545454545401</v>
      </c>
      <c r="H12" s="2">
        <v>315651.41191506502</v>
      </c>
      <c r="I12" s="3">
        <v>0.86938589848796</v>
      </c>
      <c r="J12">
        <f>Tabla2[[#This Row],[mismatch_w]]/Tabla2[[#This Row],[distance_w]]</f>
        <v>1.0305983226451254</v>
      </c>
      <c r="K12">
        <f>(Tabla2[[#This Row],[Distance]]-61810.83)/((2.44 -Tabla2[[#This Row],[Average mismatch]])*1100)</f>
        <v>352.55636377092071</v>
      </c>
    </row>
    <row r="13" spans="1:12" x14ac:dyDescent="0.25">
      <c r="A13">
        <v>16</v>
      </c>
      <c r="B13" t="s">
        <v>123</v>
      </c>
      <c r="C13" s="11">
        <v>1.5727422431122799</v>
      </c>
      <c r="D13" s="2">
        <v>289.91511570772298</v>
      </c>
      <c r="E13" s="2">
        <v>280.68342604497502</v>
      </c>
      <c r="F13" t="s">
        <v>155</v>
      </c>
      <c r="G13" s="9">
        <v>1.79454545454545</v>
      </c>
      <c r="H13" s="2">
        <v>320945.45234076801</v>
      </c>
      <c r="I13" s="3">
        <v>0.82881469012791797</v>
      </c>
      <c r="J13">
        <f>Tabla2[[#This Row],[mismatch_w]]/Tabla2[[#This Row],[distance_w]]</f>
        <v>1.0328900419694489</v>
      </c>
      <c r="K13">
        <f>(Tabla2[[#This Row],[Distance]]-61810.83)/((2.44 -Tabla2[[#This Row],[Average mismatch]])*1100)</f>
        <v>364.97834132502283</v>
      </c>
    </row>
    <row r="14" spans="1:12" x14ac:dyDescent="0.25">
      <c r="A14">
        <v>18</v>
      </c>
      <c r="B14" t="s">
        <v>125</v>
      </c>
      <c r="C14" s="11">
        <v>1.5727422431122799</v>
      </c>
      <c r="D14" s="2">
        <v>172.37587204099199</v>
      </c>
      <c r="E14" s="2">
        <v>162.53229285647299</v>
      </c>
      <c r="F14" t="s">
        <v>157</v>
      </c>
      <c r="G14" s="9">
        <v>1.77272727272727</v>
      </c>
      <c r="H14" s="2">
        <v>321589.74808234</v>
      </c>
      <c r="I14" s="3">
        <v>0.804064811607477</v>
      </c>
      <c r="J14">
        <f>Tabla2[[#This Row],[mismatch_w]]/Tabla2[[#This Row],[distance_w]]</f>
        <v>1.060563836339967</v>
      </c>
      <c r="K14">
        <f>(Tabla2[[#This Row],[Distance]]-61810.83)/((2.44 -Tabla2[[#This Row],[Average mismatch]])*1100)</f>
        <v>353.92223171980788</v>
      </c>
    </row>
    <row r="15" spans="1:12" x14ac:dyDescent="0.25">
      <c r="A15">
        <v>20</v>
      </c>
      <c r="B15" t="s">
        <v>127</v>
      </c>
      <c r="C15" s="11">
        <v>1.5727422431122799</v>
      </c>
      <c r="D15" s="2">
        <v>328.822071605914</v>
      </c>
      <c r="E15" s="2">
        <v>318.08754981670802</v>
      </c>
      <c r="F15" t="s">
        <v>159</v>
      </c>
      <c r="G15" s="9">
        <v>1.78727272727272</v>
      </c>
      <c r="H15" s="2">
        <v>318139.86709852598</v>
      </c>
      <c r="I15" s="3">
        <v>0.83034940506079102</v>
      </c>
      <c r="J15">
        <f>Tabla2[[#This Row],[mismatch_w]]/Tabla2[[#This Row],[distance_w]]</f>
        <v>1.0337470667914905</v>
      </c>
      <c r="K15">
        <f>(Tabla2[[#This Row],[Distance]]-61810.83)/((2.44 -Tabla2[[#This Row],[Average mismatch]])*1100)</f>
        <v>357.00422994223277</v>
      </c>
    </row>
    <row r="16" spans="1:12" x14ac:dyDescent="0.25">
      <c r="A16">
        <v>21</v>
      </c>
      <c r="B16" t="s">
        <v>128</v>
      </c>
      <c r="C16" s="11">
        <v>1.5727422431122799</v>
      </c>
      <c r="D16" s="2">
        <v>946.03028739470801</v>
      </c>
      <c r="E16" s="2">
        <v>935.00892045436603</v>
      </c>
      <c r="F16" t="s">
        <v>160</v>
      </c>
      <c r="G16" s="12">
        <v>1.82</v>
      </c>
      <c r="H16" s="13">
        <v>314746.85255571501</v>
      </c>
      <c r="I16" s="14">
        <v>0.83012460577810099</v>
      </c>
      <c r="J16">
        <f>Tabla2[[#This Row],[mismatch_w]]/Tabla2[[#This Row],[distance_w]]</f>
        <v>1.0117874457657432</v>
      </c>
      <c r="K16">
        <f>(Tabla2[[#This Row],[Distance]]-61810.83)/((2.44 -Tabla2[[#This Row],[Average mismatch]])*1100)</f>
        <v>370.87393336615111</v>
      </c>
    </row>
    <row r="17" spans="1:11" x14ac:dyDescent="0.25">
      <c r="A17">
        <v>19</v>
      </c>
      <c r="B17" t="s">
        <v>126</v>
      </c>
      <c r="C17">
        <v>1.5719825141063899</v>
      </c>
      <c r="D17" s="2">
        <v>355.37421751002699</v>
      </c>
      <c r="E17" s="2">
        <v>420.395814642088</v>
      </c>
      <c r="F17" t="s">
        <v>158</v>
      </c>
      <c r="G17" s="9">
        <v>1.81636363636363</v>
      </c>
      <c r="H17" s="2">
        <v>286741.00957474503</v>
      </c>
      <c r="I17" s="3">
        <v>0.87850716168591203</v>
      </c>
      <c r="J17">
        <f>Tabla2[[#This Row],[mismatch_w]]/Tabla2[[#This Row],[distance_w]]</f>
        <v>0.84533243465466379</v>
      </c>
      <c r="K17">
        <f>(Tabla2[[#This Row],[Distance]]-61810.83)/((2.44 -Tabla2[[#This Row],[Average mismatch]])*1100)</f>
        <v>327.88655914685529</v>
      </c>
    </row>
    <row r="18" spans="1:11" x14ac:dyDescent="0.25">
      <c r="A18">
        <v>10</v>
      </c>
      <c r="B18" t="s">
        <v>114</v>
      </c>
      <c r="C18">
        <v>1.56878920827404</v>
      </c>
      <c r="D18" s="2">
        <v>126.590912020693</v>
      </c>
      <c r="E18" s="2">
        <v>18.422362550585198</v>
      </c>
      <c r="F18" t="s">
        <v>149</v>
      </c>
      <c r="G18" s="9">
        <v>1.7981818181818101</v>
      </c>
      <c r="H18" s="2">
        <v>306016.17894535401</v>
      </c>
      <c r="I18" s="3">
        <v>0.86373732573926698</v>
      </c>
      <c r="J18">
        <f>Tabla2[[#This Row],[mismatch_w]]/Tabla2[[#This Row],[distance_w]]</f>
        <v>6.8715894431613904</v>
      </c>
      <c r="K18">
        <f>(Tabla2[[#This Row],[Distance]]-61810.83)/((2.44 -Tabla2[[#This Row],[Average mismatch]])*1100)</f>
        <v>345.89992768463304</v>
      </c>
    </row>
    <row r="19" spans="1:11" x14ac:dyDescent="0.25">
      <c r="A19">
        <v>12</v>
      </c>
      <c r="B19" t="s">
        <v>119</v>
      </c>
      <c r="C19">
        <v>1.56878920827404</v>
      </c>
      <c r="D19" s="2">
        <v>651.85909188269602</v>
      </c>
      <c r="E19" s="2">
        <v>32.287128541107698</v>
      </c>
      <c r="F19" t="s">
        <v>151</v>
      </c>
      <c r="G19" s="9">
        <v>1.8027272727272701</v>
      </c>
      <c r="H19" s="2">
        <v>326850.50367636897</v>
      </c>
      <c r="I19" s="3">
        <v>0.85842347460000001</v>
      </c>
      <c r="J19">
        <f>Tabla2[[#This Row],[mismatch_w]]/Tabla2[[#This Row],[distance_w]]</f>
        <v>20.189441468997607</v>
      </c>
      <c r="K19">
        <f>(Tabla2[[#This Row],[Distance]]-61810.83)/((2.44 -Tabla2[[#This Row],[Average mismatch]])*1100)</f>
        <v>378.08797956685862</v>
      </c>
    </row>
    <row r="20" spans="1:11" x14ac:dyDescent="0.25">
      <c r="A20">
        <v>17</v>
      </c>
      <c r="B20" t="s">
        <v>124</v>
      </c>
      <c r="C20">
        <v>1.55352823382093</v>
      </c>
      <c r="D20" s="2">
        <v>155.47842110760001</v>
      </c>
      <c r="E20" s="2">
        <v>394.002153462102</v>
      </c>
      <c r="F20" t="s">
        <v>156</v>
      </c>
      <c r="G20" s="9">
        <v>1.88090909090909</v>
      </c>
      <c r="H20" s="2">
        <v>252672.75854614499</v>
      </c>
      <c r="I20" s="3">
        <v>0.92192334529723996</v>
      </c>
      <c r="J20">
        <f>Tabla2[[#This Row],[mismatch_w]]/Tabla2[[#This Row],[distance_w]]</f>
        <v>0.39461312518576136</v>
      </c>
      <c r="K20">
        <f>(Tabla2[[#This Row],[Distance]]-61810.83)/((2.44 -Tabla2[[#This Row],[Average mismatch]])*1100)</f>
        <v>310.34459926202385</v>
      </c>
    </row>
    <row r="21" spans="1:11" x14ac:dyDescent="0.25">
      <c r="A21">
        <v>9</v>
      </c>
      <c r="B21" t="s">
        <v>106</v>
      </c>
      <c r="C21">
        <v>1.5499327684320601</v>
      </c>
      <c r="D21" s="2">
        <v>84.6255989756052</v>
      </c>
      <c r="E21" s="2">
        <v>265.10166302991598</v>
      </c>
      <c r="F21" t="s">
        <v>113</v>
      </c>
      <c r="G21" s="9">
        <v>1.88636363636363</v>
      </c>
      <c r="H21" s="2">
        <v>253311.47149237699</v>
      </c>
      <c r="I21" s="3">
        <v>0.90125296163750801</v>
      </c>
      <c r="J21">
        <f>Tabla2[[#This Row],[mismatch_w]]/Tabla2[[#This Row],[distance_w]]</f>
        <v>0.31921941948004845</v>
      </c>
      <c r="K21">
        <f>(Tabla2[[#This Row],[Distance]]-61810.83)/((2.44 -Tabla2[[#This Row],[Average mismatch]])*1100)</f>
        <v>314.45097125184697</v>
      </c>
    </row>
    <row r="22" spans="1:11" x14ac:dyDescent="0.25">
      <c r="A22">
        <v>1</v>
      </c>
      <c r="B22" t="s">
        <v>97</v>
      </c>
      <c r="C22">
        <v>1.4678074212280099</v>
      </c>
      <c r="D22" s="2">
        <v>29.250767826673499</v>
      </c>
      <c r="E22" s="2">
        <v>500.90927710559703</v>
      </c>
      <c r="F22" t="s">
        <v>96</v>
      </c>
      <c r="G22" s="9">
        <v>2.0072727272727202</v>
      </c>
      <c r="H22" s="2">
        <v>210025.35456030801</v>
      </c>
      <c r="I22" s="3">
        <v>0.89737266182623499</v>
      </c>
      <c r="J22">
        <f>Tabla2[[#This Row],[mismatch_w]]/Tabla2[[#This Row],[distance_w]]</f>
        <v>5.8395340560855942E-2</v>
      </c>
      <c r="K22">
        <f>(Tabla2[[#This Row],[Distance]]-61810.83)/((2.44 -Tabla2[[#This Row],[Average mismatch]])*1100)</f>
        <v>311.37505159728073</v>
      </c>
    </row>
    <row r="23" spans="1:11" x14ac:dyDescent="0.25">
      <c r="D23" s="2"/>
      <c r="E23" s="2"/>
      <c r="G23" s="9"/>
      <c r="H23" s="2"/>
      <c r="I23" s="3"/>
      <c r="J23" s="10"/>
      <c r="K23" s="10">
        <f>SUM(K2:K16)/15</f>
        <v>356.28514625141969</v>
      </c>
    </row>
    <row r="28" spans="1:11" x14ac:dyDescent="0.25">
      <c r="F28" s="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474F6-C836-4628-9E19-F00913CCCF42}">
  <dimension ref="A1:K23"/>
  <sheetViews>
    <sheetView tabSelected="1" topLeftCell="A4" workbookViewId="0">
      <selection activeCell="G16" sqref="G16:I16"/>
    </sheetView>
  </sheetViews>
  <sheetFormatPr baseColWidth="10" defaultRowHeight="15" x14ac:dyDescent="0.25"/>
  <cols>
    <col min="2" max="2" width="27.5703125" customWidth="1"/>
    <col min="3" max="3" width="16.42578125" customWidth="1"/>
    <col min="4" max="4" width="30.5703125" customWidth="1"/>
    <col min="5" max="5" width="23.85546875" customWidth="1"/>
    <col min="6" max="6" width="27.140625" customWidth="1"/>
    <col min="7" max="7" width="19.5703125" customWidth="1"/>
    <col min="8" max="8" width="15.5703125" customWidth="1"/>
    <col min="9" max="9" width="18.28515625" customWidth="1"/>
    <col min="10" max="10" width="15" customWidth="1"/>
    <col min="11" max="11" width="31.5703125" customWidth="1"/>
  </cols>
  <sheetData>
    <row r="1" spans="1:11" x14ac:dyDescent="0.25">
      <c r="A1" s="5" t="s">
        <v>59</v>
      </c>
      <c r="B1" s="6" t="s">
        <v>44</v>
      </c>
      <c r="C1" s="6" t="s">
        <v>1</v>
      </c>
      <c r="D1" s="6" t="s">
        <v>115</v>
      </c>
      <c r="E1" s="6" t="s">
        <v>116</v>
      </c>
      <c r="F1" s="6" t="s">
        <v>43</v>
      </c>
      <c r="G1" s="6" t="s">
        <v>48</v>
      </c>
      <c r="H1" s="6" t="s">
        <v>49</v>
      </c>
      <c r="I1" s="7" t="s">
        <v>4</v>
      </c>
      <c r="J1" s="7" t="s">
        <v>117</v>
      </c>
      <c r="K1" s="6" t="s">
        <v>182</v>
      </c>
    </row>
    <row r="2" spans="1:11" x14ac:dyDescent="0.25">
      <c r="A2">
        <v>1</v>
      </c>
      <c r="B2" t="s">
        <v>129</v>
      </c>
      <c r="C2" s="11">
        <v>2.5335152099588698</v>
      </c>
      <c r="D2" s="2">
        <v>200.24192977416399</v>
      </c>
      <c r="E2" s="2">
        <v>409.16815144556</v>
      </c>
      <c r="F2" t="s">
        <v>161</v>
      </c>
      <c r="G2" s="9">
        <v>1.8654545454545399</v>
      </c>
      <c r="H2" s="2">
        <v>250294.17188572499</v>
      </c>
      <c r="I2">
        <v>0.90664648529354397</v>
      </c>
      <c r="K2">
        <f xml:space="preserve"> (Tabla3[[#This Row],[Distance]]-61810.83)/((2.44-Tabla3[[#This Row],[Average mismatch]])*1100)</f>
        <v>298.23313589513162</v>
      </c>
    </row>
    <row r="3" spans="1:11" x14ac:dyDescent="0.25">
      <c r="A3">
        <v>18</v>
      </c>
      <c r="B3" t="s">
        <v>146</v>
      </c>
      <c r="C3" s="11">
        <v>2.5335152099588698</v>
      </c>
      <c r="D3" s="2">
        <v>118.869765959123</v>
      </c>
      <c r="E3" s="2">
        <v>236.411309777003</v>
      </c>
      <c r="F3" t="s">
        <v>178</v>
      </c>
      <c r="G3" s="9">
        <v>1.8545454545454501</v>
      </c>
      <c r="H3" s="2">
        <v>268044.92046434002</v>
      </c>
      <c r="I3">
        <v>0.89239481168156198</v>
      </c>
      <c r="K3">
        <f xml:space="preserve"> (Tabla3[[#This Row],[Distance]]-61810.83)/((2.44-Tabla3[[#This Row],[Average mismatch]])*1100)</f>
        <v>320.23927090735782</v>
      </c>
    </row>
    <row r="4" spans="1:11" x14ac:dyDescent="0.25">
      <c r="A4">
        <v>15</v>
      </c>
      <c r="B4" t="s">
        <v>143</v>
      </c>
      <c r="C4" s="11">
        <v>2.5335152099588698</v>
      </c>
      <c r="D4" s="2">
        <v>103.78141809812099</v>
      </c>
      <c r="E4" s="2">
        <v>208.805960754457</v>
      </c>
      <c r="F4" t="s">
        <v>175</v>
      </c>
      <c r="G4" s="9">
        <v>1.8481818181818099</v>
      </c>
      <c r="H4" s="2">
        <v>266429.22627750301</v>
      </c>
      <c r="I4">
        <v>0.89342795369733596</v>
      </c>
      <c r="K4">
        <f xml:space="preserve"> (Tabla3[[#This Row],[Distance]]-61810.83)/((2.44-Tabla3[[#This Row],[Average mismatch]])*1100)</f>
        <v>314.31397277649796</v>
      </c>
    </row>
    <row r="5" spans="1:11" x14ac:dyDescent="0.25">
      <c r="A5">
        <v>7</v>
      </c>
      <c r="B5" t="s">
        <v>135</v>
      </c>
      <c r="C5" s="11">
        <v>2.5335152099588698</v>
      </c>
      <c r="D5" s="2">
        <v>285.606178623826</v>
      </c>
      <c r="E5" s="2">
        <v>571.98514261387697</v>
      </c>
      <c r="F5" t="s">
        <v>167</v>
      </c>
      <c r="G5" s="9">
        <v>1.8427272727272701</v>
      </c>
      <c r="H5" s="2">
        <v>276671.613946728</v>
      </c>
      <c r="I5">
        <v>0.86682888094555399</v>
      </c>
      <c r="K5">
        <f xml:space="preserve"> (Tabla3[[#This Row],[Distance]]-61810.83)/((2.44-Tabla3[[#This Row],[Average mismatch]])*1100)</f>
        <v>327.0331566921264</v>
      </c>
    </row>
    <row r="6" spans="1:11" x14ac:dyDescent="0.25">
      <c r="A6">
        <v>2</v>
      </c>
      <c r="B6" t="s">
        <v>130</v>
      </c>
      <c r="C6" s="11">
        <v>2.5335152099588698</v>
      </c>
      <c r="D6" s="2">
        <v>297.26433233081701</v>
      </c>
      <c r="E6" s="2">
        <v>608.20103868161004</v>
      </c>
      <c r="F6" t="s">
        <v>162</v>
      </c>
      <c r="G6" s="9">
        <v>1.83636363636363</v>
      </c>
      <c r="H6" s="2">
        <v>275817.383186739</v>
      </c>
      <c r="I6">
        <v>0.8601215458018</v>
      </c>
      <c r="K6">
        <f xml:space="preserve"> (Tabla3[[#This Row],[Distance]]-61810.83)/((2.44-Tabla3[[#This Row],[Average mismatch]])*1100)</f>
        <v>322.29902588363967</v>
      </c>
    </row>
    <row r="7" spans="1:11" x14ac:dyDescent="0.25">
      <c r="A7">
        <v>5</v>
      </c>
      <c r="B7" t="s">
        <v>133</v>
      </c>
      <c r="C7" s="11">
        <v>2.5335115471740099</v>
      </c>
      <c r="D7" s="2">
        <v>105.441344951803</v>
      </c>
      <c r="E7" s="2">
        <v>205.86913061351001</v>
      </c>
      <c r="F7" t="s">
        <v>165</v>
      </c>
      <c r="G7" s="9">
        <v>1.83636363636363</v>
      </c>
      <c r="H7" s="2">
        <v>278057.786716123</v>
      </c>
      <c r="I7">
        <v>0.84407656747382198</v>
      </c>
      <c r="K7">
        <f xml:space="preserve"> (Tabla3[[#This Row],[Distance]]-61810.83)/((2.44-Tabla3[[#This Row],[Average mismatch]])*1100)</f>
        <v>325.67312758451914</v>
      </c>
    </row>
    <row r="8" spans="1:11" x14ac:dyDescent="0.25">
      <c r="A8">
        <v>3</v>
      </c>
      <c r="B8" t="s">
        <v>131</v>
      </c>
      <c r="C8" s="11">
        <v>2.5335152099588698</v>
      </c>
      <c r="D8" s="2">
        <v>465.34719864343498</v>
      </c>
      <c r="E8" s="2">
        <v>922.29689277279294</v>
      </c>
      <c r="F8" t="s">
        <v>163</v>
      </c>
      <c r="G8" s="9">
        <v>1.8354545454545399</v>
      </c>
      <c r="H8" s="2">
        <v>283417.28530718398</v>
      </c>
      <c r="I8">
        <v>0.86543952014249004</v>
      </c>
      <c r="K8">
        <f xml:space="preserve"> (Tabla3[[#This Row],[Distance]]-61810.83)/((2.44-Tabla3[[#This Row],[Average mismatch]])*1100)</f>
        <v>333.24278993561194</v>
      </c>
    </row>
    <row r="9" spans="1:11" x14ac:dyDescent="0.25">
      <c r="A9">
        <v>12</v>
      </c>
      <c r="B9" t="s">
        <v>140</v>
      </c>
      <c r="C9" s="11">
        <v>2.5335152099588698</v>
      </c>
      <c r="D9" s="2">
        <v>82.504445103672694</v>
      </c>
      <c r="E9" s="2">
        <v>163.82961508152599</v>
      </c>
      <c r="F9" t="s">
        <v>172</v>
      </c>
      <c r="G9" s="9">
        <v>1.8354545454545399</v>
      </c>
      <c r="H9" s="2">
        <v>279231.31532098301</v>
      </c>
      <c r="I9">
        <v>0.86068049327991203</v>
      </c>
      <c r="K9">
        <f xml:space="preserve"> (Tabla3[[#This Row],[Distance]]-61810.83)/((2.44-Tabla3[[#This Row],[Average mismatch]])*1100)</f>
        <v>326.94809822703911</v>
      </c>
    </row>
    <row r="10" spans="1:11" x14ac:dyDescent="0.25">
      <c r="A10">
        <v>8</v>
      </c>
      <c r="B10" t="s">
        <v>136</v>
      </c>
      <c r="C10" s="11">
        <v>2.5335152099588698</v>
      </c>
      <c r="D10" s="2">
        <v>370.96257703029403</v>
      </c>
      <c r="E10" s="2">
        <v>739.63753816609801</v>
      </c>
      <c r="F10" t="s">
        <v>168</v>
      </c>
      <c r="G10" s="9">
        <v>1.83454545454545</v>
      </c>
      <c r="H10" s="2">
        <v>282038.52341347601</v>
      </c>
      <c r="I10">
        <v>0.86106652223430302</v>
      </c>
      <c r="K10">
        <f xml:space="preserve"> (Tabla3[[#This Row],[Distance]]-61810.83)/((2.44-Tabla3[[#This Row],[Average mismatch]])*1100)</f>
        <v>330.67221233254412</v>
      </c>
    </row>
    <row r="11" spans="1:11" x14ac:dyDescent="0.25">
      <c r="A11">
        <v>10</v>
      </c>
      <c r="B11" t="s">
        <v>138</v>
      </c>
      <c r="C11" s="11">
        <v>2.5335152099588698</v>
      </c>
      <c r="D11" s="2">
        <v>491.43446599669397</v>
      </c>
      <c r="E11" s="2">
        <v>974.80762374015205</v>
      </c>
      <c r="F11" t="s">
        <v>170</v>
      </c>
      <c r="G11" s="9">
        <v>1.83454545454545</v>
      </c>
      <c r="H11" s="2">
        <v>282038.52341347601</v>
      </c>
      <c r="I11">
        <v>0.86106652223430302</v>
      </c>
      <c r="K11">
        <f xml:space="preserve"> (Tabla3[[#This Row],[Distance]]-61810.83)/((2.44-Tabla3[[#This Row],[Average mismatch]])*1100)</f>
        <v>330.67221233254412</v>
      </c>
    </row>
    <row r="12" spans="1:11" x14ac:dyDescent="0.25">
      <c r="A12">
        <v>16</v>
      </c>
      <c r="B12" t="s">
        <v>144</v>
      </c>
      <c r="C12" s="11">
        <v>2.5335152099588698</v>
      </c>
      <c r="D12" s="2">
        <v>268.27358903175298</v>
      </c>
      <c r="E12" s="2">
        <v>541.122152277331</v>
      </c>
      <c r="F12" t="s">
        <v>176</v>
      </c>
      <c r="G12" s="9">
        <v>1.8290909090909</v>
      </c>
      <c r="H12" s="2">
        <v>281758.58717324003</v>
      </c>
      <c r="I12">
        <v>0.85941095285999103</v>
      </c>
      <c r="K12">
        <f xml:space="preserve"> (Tabla3[[#This Row],[Distance]]-61810.83)/((2.44-Tabla3[[#This Row],[Average mismatch]])*1100)</f>
        <v>327.3032100792214</v>
      </c>
    </row>
    <row r="13" spans="1:11" x14ac:dyDescent="0.25">
      <c r="A13">
        <v>19</v>
      </c>
      <c r="B13" t="s">
        <v>147</v>
      </c>
      <c r="C13" s="11">
        <v>2.5335152099588698</v>
      </c>
      <c r="D13" s="2">
        <v>27.825233125429801</v>
      </c>
      <c r="E13" s="2">
        <v>56.084757389501199</v>
      </c>
      <c r="F13" t="s">
        <v>179</v>
      </c>
      <c r="G13" s="9">
        <v>1.8281818181818099</v>
      </c>
      <c r="H13" s="2">
        <v>279815.67645958299</v>
      </c>
      <c r="I13">
        <v>0.866675151799712</v>
      </c>
      <c r="K13">
        <f xml:space="preserve"> (Tabla3[[#This Row],[Distance]]-61810.83)/((2.44-Tabla3[[#This Row],[Average mismatch]])*1100)</f>
        <v>323.92993530398229</v>
      </c>
    </row>
    <row r="14" spans="1:11" x14ac:dyDescent="0.25">
      <c r="A14">
        <v>11</v>
      </c>
      <c r="B14" t="s">
        <v>139</v>
      </c>
      <c r="C14" s="11">
        <v>2.5334879904918801</v>
      </c>
      <c r="D14" s="2">
        <v>49.503442635248803</v>
      </c>
      <c r="E14" s="2">
        <v>95.0075841861605</v>
      </c>
      <c r="F14" t="s">
        <v>171</v>
      </c>
      <c r="G14" s="9">
        <v>1.82636363636363</v>
      </c>
      <c r="H14" s="2">
        <v>279581.34915958199</v>
      </c>
      <c r="I14">
        <v>0.86325651227119904</v>
      </c>
      <c r="K14">
        <f xml:space="preserve"> (Tabla3[[#This Row],[Distance]]-61810.83)/((2.44-Tabla3[[#This Row],[Average mismatch]])*1100)</f>
        <v>322.62299134752556</v>
      </c>
    </row>
    <row r="15" spans="1:11" x14ac:dyDescent="0.25">
      <c r="A15">
        <v>6</v>
      </c>
      <c r="B15" t="s">
        <v>134</v>
      </c>
      <c r="C15" s="11">
        <v>2.5335152099588698</v>
      </c>
      <c r="D15" s="2">
        <v>349.43264790342198</v>
      </c>
      <c r="E15" s="2">
        <v>713.07166755478204</v>
      </c>
      <c r="F15" t="s">
        <v>166</v>
      </c>
      <c r="G15" s="9">
        <v>1.8227272727272701</v>
      </c>
      <c r="H15" s="2">
        <v>277263.05033765599</v>
      </c>
      <c r="I15">
        <v>0.86118336107086901</v>
      </c>
      <c r="K15">
        <f xml:space="preserve"> (Tabla3[[#This Row],[Distance]]-61810.83)/((2.44-Tabla3[[#This Row],[Average mismatch]])*1100)</f>
        <v>317.3081300996393</v>
      </c>
    </row>
    <row r="16" spans="1:11" x14ac:dyDescent="0.25">
      <c r="A16">
        <v>4</v>
      </c>
      <c r="B16" t="s">
        <v>132</v>
      </c>
      <c r="C16" s="11">
        <v>2.5335152099588698</v>
      </c>
      <c r="D16" s="2">
        <v>340.42059406021201</v>
      </c>
      <c r="E16" s="2">
        <v>674.63145061642695</v>
      </c>
      <c r="F16" t="s">
        <v>164</v>
      </c>
      <c r="G16" s="12">
        <v>1.82181818181818</v>
      </c>
      <c r="H16" s="13">
        <v>274361.389713732</v>
      </c>
      <c r="I16" s="15">
        <v>0.86719892442421698</v>
      </c>
      <c r="K16">
        <f xml:space="preserve"> (Tabla3[[#This Row],[Distance]]-61810.83)/((2.44-Tabla3[[#This Row],[Average mismatch]])*1100)</f>
        <v>312.5743525201932</v>
      </c>
    </row>
    <row r="17" spans="1:11" x14ac:dyDescent="0.25">
      <c r="A17">
        <v>9</v>
      </c>
      <c r="B17" t="s">
        <v>137</v>
      </c>
      <c r="C17">
        <v>2.53293869747039</v>
      </c>
      <c r="D17" s="2">
        <v>128.78253434620501</v>
      </c>
      <c r="E17" s="2">
        <v>232.02676567453</v>
      </c>
      <c r="F17" t="s">
        <v>169</v>
      </c>
      <c r="G17" s="9">
        <v>1.82181818181818</v>
      </c>
      <c r="H17" s="2">
        <v>280492.40705838299</v>
      </c>
      <c r="I17">
        <v>0.86804495277525395</v>
      </c>
      <c r="K17">
        <f xml:space="preserve"> (Tabla3[[#This Row],[Distance]]-61810.83)/((2.44-Tabla3[[#This Row],[Average mismatch]])*1100)</f>
        <v>321.5905544976211</v>
      </c>
    </row>
    <row r="18" spans="1:11" x14ac:dyDescent="0.25">
      <c r="A18">
        <v>13</v>
      </c>
      <c r="B18" t="s">
        <v>141</v>
      </c>
      <c r="C18">
        <v>2.53258718665366</v>
      </c>
      <c r="D18" s="2">
        <v>78.210455735429505</v>
      </c>
      <c r="E18" s="2">
        <v>129.85274641201599</v>
      </c>
      <c r="F18" t="s">
        <v>173</v>
      </c>
      <c r="G18" s="9">
        <v>1.80454545454545</v>
      </c>
      <c r="H18" s="2">
        <v>286843.64668314997</v>
      </c>
      <c r="I18">
        <v>0.86987750284714205</v>
      </c>
      <c r="K18">
        <f xml:space="preserve"> (Tabla3[[#This Row],[Distance]]-61810.83)/((2.44-Tabla3[[#This Row],[Average mismatch]])*1100)</f>
        <v>321.93536006172872</v>
      </c>
    </row>
    <row r="19" spans="1:11" x14ac:dyDescent="0.25">
      <c r="A19">
        <v>20</v>
      </c>
      <c r="B19" t="s">
        <v>148</v>
      </c>
      <c r="C19">
        <v>2.5191942701872501</v>
      </c>
      <c r="D19" s="2">
        <v>223.584843717398</v>
      </c>
      <c r="E19" s="2">
        <v>141.15032931389999</v>
      </c>
      <c r="F19" t="s">
        <v>180</v>
      </c>
      <c r="G19" s="9">
        <v>1.7909090909090899</v>
      </c>
      <c r="H19" s="2">
        <v>326093.79943765001</v>
      </c>
      <c r="I19">
        <v>0.80100008467378603</v>
      </c>
      <c r="K19">
        <f xml:space="preserve"> (Tabla3[[#This Row],[Distance]]-61810.83)/((2.44-Tabla3[[#This Row],[Average mismatch]])*1100)</f>
        <v>370.14421489866891</v>
      </c>
    </row>
    <row r="20" spans="1:11" x14ac:dyDescent="0.25">
      <c r="A20">
        <v>14</v>
      </c>
      <c r="B20" t="s">
        <v>142</v>
      </c>
      <c r="C20">
        <v>2.5089117498814102</v>
      </c>
      <c r="D20" s="2">
        <v>503.965081450208</v>
      </c>
      <c r="E20" s="2">
        <v>1.8344893848013499</v>
      </c>
      <c r="F20" t="s">
        <v>174</v>
      </c>
      <c r="G20" s="9">
        <v>1.7863636363636299</v>
      </c>
      <c r="H20" s="2">
        <v>326310.31794974097</v>
      </c>
      <c r="I20">
        <v>0.82590500481148399</v>
      </c>
      <c r="K20">
        <f xml:space="preserve"> (Tabla3[[#This Row],[Distance]]-61810.83)/((2.44-Tabla3[[#This Row],[Average mismatch]])*1100)</f>
        <v>367.87133233621466</v>
      </c>
    </row>
    <row r="21" spans="1:11" x14ac:dyDescent="0.25">
      <c r="A21">
        <v>17</v>
      </c>
      <c r="B21" t="s">
        <v>145</v>
      </c>
      <c r="C21">
        <v>2.5191942701872501</v>
      </c>
      <c r="D21" s="2">
        <v>758.63961987114396</v>
      </c>
      <c r="E21" s="2">
        <v>419.92159188468901</v>
      </c>
      <c r="F21" t="s">
        <v>177</v>
      </c>
      <c r="G21" s="9">
        <v>1.78454545454545</v>
      </c>
      <c r="H21" s="2">
        <v>319159.32874929998</v>
      </c>
      <c r="I21">
        <v>0.80153041471397901</v>
      </c>
      <c r="K21">
        <f xml:space="preserve"> (Tabla3[[#This Row],[Distance]]-61810.83)/((2.44-Tabla3[[#This Row],[Average mismatch]])*1100)</f>
        <v>356.93273058155086</v>
      </c>
    </row>
    <row r="23" spans="1:11" x14ac:dyDescent="0.25">
      <c r="K23" s="10">
        <f>SUM(K2:K16)/15</f>
        <v>322.20437479450487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8DD79-C21B-42FF-8DFE-3955CE9BC814}">
  <dimension ref="A1:I29"/>
  <sheetViews>
    <sheetView workbookViewId="0">
      <selection activeCell="I23" sqref="I23"/>
    </sheetView>
  </sheetViews>
  <sheetFormatPr baseColWidth="10" defaultRowHeight="15" x14ac:dyDescent="0.25"/>
  <cols>
    <col min="1" max="1" width="8.5703125" customWidth="1"/>
    <col min="2" max="2" width="27.5703125" customWidth="1"/>
    <col min="3" max="3" width="30.5703125" customWidth="1"/>
    <col min="4" max="4" width="61.28515625" customWidth="1"/>
    <col min="5" max="5" width="31.85546875" customWidth="1"/>
    <col min="6" max="6" width="19.85546875" customWidth="1"/>
    <col min="7" max="7" width="24.140625" customWidth="1"/>
    <col min="8" max="8" width="27.5703125" customWidth="1"/>
    <col min="9" max="9" width="24.7109375" customWidth="1"/>
  </cols>
  <sheetData>
    <row r="1" spans="1:9" x14ac:dyDescent="0.25">
      <c r="A1" t="s">
        <v>59</v>
      </c>
      <c r="B1" t="s">
        <v>44</v>
      </c>
      <c r="C1" t="s">
        <v>1</v>
      </c>
      <c r="D1" t="s">
        <v>2</v>
      </c>
      <c r="E1" t="s">
        <v>43</v>
      </c>
      <c r="F1" t="s">
        <v>48</v>
      </c>
      <c r="G1" t="s">
        <v>49</v>
      </c>
      <c r="H1" t="s">
        <v>4</v>
      </c>
      <c r="I1" t="s">
        <v>183</v>
      </c>
    </row>
    <row r="2" spans="1:9" hidden="1" x14ac:dyDescent="0.25">
      <c r="A2">
        <v>9</v>
      </c>
      <c r="B2" t="s">
        <v>19</v>
      </c>
      <c r="C2" s="3">
        <v>1.72143931068544</v>
      </c>
      <c r="D2" t="s">
        <v>20</v>
      </c>
      <c r="E2" t="s">
        <v>57</v>
      </c>
      <c r="F2">
        <v>1.8149999999999999</v>
      </c>
      <c r="G2" s="2">
        <v>392269.99</v>
      </c>
      <c r="H2">
        <v>0.851159</v>
      </c>
      <c r="I2">
        <f>(Tabla1[[#This Row],[Distance]]-61810.83)/((2.44-Tabla1[[#This Row],[Average mismatch]])*1100)</f>
        <v>480.66786909090905</v>
      </c>
    </row>
    <row r="3" spans="1:9" x14ac:dyDescent="0.25">
      <c r="A3">
        <v>4</v>
      </c>
      <c r="B3" t="s">
        <v>9</v>
      </c>
      <c r="C3" s="3">
        <v>1.7551420869365899</v>
      </c>
      <c r="D3" t="s">
        <v>10</v>
      </c>
      <c r="E3" t="s">
        <v>52</v>
      </c>
      <c r="F3">
        <v>1.875</v>
      </c>
      <c r="G3" s="2">
        <v>343676.08</v>
      </c>
      <c r="H3">
        <v>0.92507099999999998</v>
      </c>
      <c r="I3">
        <f>(Tabla1[[#This Row],[Distance]]-61810.83)/((2.44-Tabla1[[#This Row],[Average mismatch]])*1100)</f>
        <v>453.52413515687863</v>
      </c>
    </row>
    <row r="4" spans="1:9" hidden="1" x14ac:dyDescent="0.25">
      <c r="A4">
        <v>20</v>
      </c>
      <c r="B4" t="s">
        <v>41</v>
      </c>
      <c r="C4" s="3">
        <v>1.75309618753157</v>
      </c>
      <c r="D4" t="s">
        <v>42</v>
      </c>
      <c r="E4" t="s">
        <v>69</v>
      </c>
      <c r="F4">
        <v>1.845</v>
      </c>
      <c r="G4" s="2">
        <v>361994.7</v>
      </c>
      <c r="H4">
        <v>0.89156100000000005</v>
      </c>
      <c r="I4">
        <f>(Tabla1[[#This Row],[Distance]]-61810.83)/((2.44-Tabla1[[#This Row],[Average mismatch]])*1100)</f>
        <v>458.64609625668447</v>
      </c>
    </row>
    <row r="5" spans="1:9" hidden="1" x14ac:dyDescent="0.25">
      <c r="A5">
        <v>13</v>
      </c>
      <c r="B5" t="s">
        <v>27</v>
      </c>
      <c r="C5" s="3">
        <v>1.74533799958452</v>
      </c>
      <c r="D5" t="s">
        <v>28</v>
      </c>
      <c r="E5" t="s">
        <v>62</v>
      </c>
      <c r="F5">
        <v>1.8460000000000001</v>
      </c>
      <c r="G5" s="2">
        <v>414504.03</v>
      </c>
      <c r="H5">
        <v>0.93656099999999998</v>
      </c>
      <c r="I5">
        <f>(Tabla1[[#This Row],[Distance]]-61810.83)/((2.44-Tabla1[[#This Row],[Average mismatch]])*1100)</f>
        <v>539.7814508723601</v>
      </c>
    </row>
    <row r="6" spans="1:9" hidden="1" x14ac:dyDescent="0.25">
      <c r="A6">
        <v>21</v>
      </c>
      <c r="B6" t="s">
        <v>46</v>
      </c>
      <c r="C6" s="3">
        <v>1.7537984301904901</v>
      </c>
      <c r="D6" t="s">
        <v>47</v>
      </c>
      <c r="E6" t="s">
        <v>70</v>
      </c>
      <c r="F6">
        <v>1.8480000000000001</v>
      </c>
      <c r="G6" s="2">
        <v>322689.89</v>
      </c>
      <c r="H6">
        <v>0.86023499999999997</v>
      </c>
      <c r="I6">
        <f>(Tabla1[[#This Row],[Distance]]-61810.83)/((2.44-Tabla1[[#This Row],[Average mismatch]])*1100)</f>
        <v>400.61280712530726</v>
      </c>
    </row>
    <row r="7" spans="1:9" hidden="1" x14ac:dyDescent="0.25">
      <c r="A7">
        <v>19</v>
      </c>
      <c r="B7" t="s">
        <v>39</v>
      </c>
      <c r="C7" s="3">
        <v>1.7512080548617801</v>
      </c>
      <c r="D7" t="s">
        <v>40</v>
      </c>
      <c r="E7" t="s">
        <v>68</v>
      </c>
      <c r="F7">
        <v>1.851</v>
      </c>
      <c r="G7" s="2">
        <v>317253.45</v>
      </c>
      <c r="H7">
        <v>0.87064699999999995</v>
      </c>
      <c r="I7">
        <f>(Tabla1[[#This Row],[Distance]]-61810.83)/((2.44-Tabla1[[#This Row],[Average mismatch]])*1100)</f>
        <v>394.26241703966662</v>
      </c>
    </row>
    <row r="8" spans="1:9" hidden="1" x14ac:dyDescent="0.25">
      <c r="A8">
        <v>16</v>
      </c>
      <c r="B8" t="s">
        <v>33</v>
      </c>
      <c r="C8" s="3">
        <v>1.7549404974791201</v>
      </c>
      <c r="D8" t="s">
        <v>34</v>
      </c>
      <c r="E8" t="s">
        <v>65</v>
      </c>
      <c r="F8">
        <v>1.8540000000000001</v>
      </c>
      <c r="G8" s="2">
        <v>346729.54</v>
      </c>
      <c r="H8">
        <v>0.90691699999999997</v>
      </c>
      <c r="I8">
        <f>(Tabla1[[#This Row],[Distance]]-61810.83)/((2.44-Tabla1[[#This Row],[Average mismatch]])*1100)</f>
        <v>442.00854793670504</v>
      </c>
    </row>
    <row r="9" spans="1:9" x14ac:dyDescent="0.25">
      <c r="A9">
        <v>12</v>
      </c>
      <c r="B9" t="s">
        <v>25</v>
      </c>
      <c r="C9" s="3">
        <v>1.7550735867325999</v>
      </c>
      <c r="D9" t="s">
        <v>26</v>
      </c>
      <c r="E9" t="s">
        <v>61</v>
      </c>
      <c r="F9">
        <v>1.883</v>
      </c>
      <c r="G9" s="2">
        <v>353694.83</v>
      </c>
      <c r="H9">
        <v>0.91786699999999999</v>
      </c>
      <c r="I9">
        <f>(Tabla1[[#This Row],[Distance]]-61810.83)/((2.44-Tabla1[[#This Row],[Average mismatch]])*1100)</f>
        <v>476.38975028562106</v>
      </c>
    </row>
    <row r="10" spans="1:9" hidden="1" x14ac:dyDescent="0.25">
      <c r="A10">
        <v>8</v>
      </c>
      <c r="B10" t="s">
        <v>17</v>
      </c>
      <c r="C10" s="3">
        <v>1.7117185958801899</v>
      </c>
      <c r="D10" t="s">
        <v>18</v>
      </c>
      <c r="E10" t="s">
        <v>56</v>
      </c>
      <c r="F10">
        <v>1.8660000000000001</v>
      </c>
      <c r="G10" s="2">
        <v>291938.31</v>
      </c>
      <c r="H10">
        <v>0.91696200000000005</v>
      </c>
      <c r="I10">
        <f>(Tabla1[[#This Row],[Distance]]-61810.83)/((2.44-Tabla1[[#This Row],[Average mismatch]])*1100)</f>
        <v>364.47177700348436</v>
      </c>
    </row>
    <row r="11" spans="1:9" x14ac:dyDescent="0.25">
      <c r="A11">
        <v>15</v>
      </c>
      <c r="B11" t="s">
        <v>31</v>
      </c>
      <c r="C11" s="3">
        <v>1.75513882212879</v>
      </c>
      <c r="D11" t="s">
        <v>32</v>
      </c>
      <c r="E11" t="s">
        <v>64</v>
      </c>
      <c r="F11">
        <v>1.91</v>
      </c>
      <c r="G11" s="2">
        <v>338152.3</v>
      </c>
      <c r="H11">
        <v>0.91342599999999996</v>
      </c>
      <c r="I11">
        <f>(Tabla1[[#This Row],[Distance]]-61810.83)/((2.44-Tabla1[[#This Row],[Average mismatch]])*1100)</f>
        <v>473.99909090909085</v>
      </c>
    </row>
    <row r="12" spans="1:9" hidden="1" x14ac:dyDescent="0.25">
      <c r="A12">
        <v>6</v>
      </c>
      <c r="B12" t="s">
        <v>13</v>
      </c>
      <c r="C12" s="3">
        <v>1.7546794896511799</v>
      </c>
      <c r="D12" t="s">
        <v>14</v>
      </c>
      <c r="E12" t="s">
        <v>54</v>
      </c>
      <c r="F12">
        <v>1.875</v>
      </c>
      <c r="G12" s="2">
        <v>363907.11</v>
      </c>
      <c r="H12">
        <v>0.91680799999999996</v>
      </c>
      <c r="I12">
        <f>(Tabla1[[#This Row],[Distance]]-61810.83)/((2.44-Tabla1[[#This Row],[Average mismatch]])*1100)</f>
        <v>486.07607401448115</v>
      </c>
    </row>
    <row r="13" spans="1:9" hidden="1" x14ac:dyDescent="0.25">
      <c r="A13">
        <v>14</v>
      </c>
      <c r="B13" t="s">
        <v>29</v>
      </c>
      <c r="C13" s="3">
        <v>1.7543637471776099</v>
      </c>
      <c r="D13" t="s">
        <v>30</v>
      </c>
      <c r="E13" t="s">
        <v>63</v>
      </c>
      <c r="F13">
        <v>1.8759999999999999</v>
      </c>
      <c r="G13" s="2">
        <v>348499.73</v>
      </c>
      <c r="H13">
        <v>0.88633399999999996</v>
      </c>
      <c r="I13">
        <f>(Tabla1[[#This Row],[Distance]]-61810.83)/((2.44-Tabla1[[#This Row],[Average mismatch]])*1100)</f>
        <v>462.10332043842669</v>
      </c>
    </row>
    <row r="14" spans="1:9" hidden="1" x14ac:dyDescent="0.25">
      <c r="A14">
        <v>2</v>
      </c>
      <c r="B14" t="s">
        <v>5</v>
      </c>
      <c r="C14" s="3">
        <v>1.7544618705931601</v>
      </c>
      <c r="D14" t="s">
        <v>6</v>
      </c>
      <c r="E14" t="s">
        <v>50</v>
      </c>
      <c r="F14">
        <v>1.879</v>
      </c>
      <c r="G14" s="2">
        <v>342973.97</v>
      </c>
      <c r="H14">
        <v>0.93385300000000004</v>
      </c>
      <c r="I14">
        <f>(Tabla1[[#This Row],[Distance]]-61810.83)/((2.44-Tabla1[[#This Row],[Average mismatch]])*1100)</f>
        <v>455.62006157835032</v>
      </c>
    </row>
    <row r="15" spans="1:9" x14ac:dyDescent="0.25">
      <c r="A15">
        <v>3</v>
      </c>
      <c r="B15" t="s">
        <v>7</v>
      </c>
      <c r="C15" s="3">
        <v>1.75509502690902</v>
      </c>
      <c r="D15" t="s">
        <v>8</v>
      </c>
      <c r="E15" t="s">
        <v>51</v>
      </c>
      <c r="F15">
        <v>1.905</v>
      </c>
      <c r="G15" s="2">
        <v>333699.57</v>
      </c>
      <c r="H15">
        <v>0.89082899999999998</v>
      </c>
      <c r="I15">
        <f>(Tabla1[[#This Row],[Distance]]-61810.83)/((2.44-Tabla1[[#This Row],[Average mismatch]])*1100)</f>
        <v>462.00295666949881</v>
      </c>
    </row>
    <row r="16" spans="1:9" hidden="1" x14ac:dyDescent="0.25">
      <c r="A16">
        <v>10</v>
      </c>
      <c r="B16" t="s">
        <v>21</v>
      </c>
      <c r="C16" s="3">
        <v>1.7547795458528499</v>
      </c>
      <c r="D16" t="s">
        <v>22</v>
      </c>
      <c r="E16" t="s">
        <v>58</v>
      </c>
      <c r="F16">
        <v>1.885</v>
      </c>
      <c r="G16" s="2">
        <v>342950.36</v>
      </c>
      <c r="H16">
        <v>0.89133099999999998</v>
      </c>
      <c r="I16">
        <f>(Tabla1[[#This Row],[Distance]]-61810.83)/((2.44-Tabla1[[#This Row],[Average mismatch]])*1100)</f>
        <v>460.5070106470107</v>
      </c>
    </row>
    <row r="17" spans="1:9" hidden="1" x14ac:dyDescent="0.25">
      <c r="A17">
        <v>11</v>
      </c>
      <c r="B17" t="s">
        <v>23</v>
      </c>
      <c r="C17" s="3">
        <v>1.75359996924416</v>
      </c>
      <c r="D17" t="s">
        <v>24</v>
      </c>
      <c r="E17" t="s">
        <v>60</v>
      </c>
      <c r="F17">
        <v>1.887</v>
      </c>
      <c r="G17" s="2">
        <v>351491.95</v>
      </c>
      <c r="H17">
        <v>0.90291600000000005</v>
      </c>
      <c r="I17">
        <f>(Tabla1[[#This Row],[Distance]]-61810.83)/((2.44-Tabla1[[#This Row],[Average mismatch]])*1100)</f>
        <v>476.21423639651488</v>
      </c>
    </row>
    <row r="18" spans="1:9" hidden="1" x14ac:dyDescent="0.25">
      <c r="A18">
        <v>7</v>
      </c>
      <c r="B18" t="s">
        <v>15</v>
      </c>
      <c r="C18" s="3">
        <v>1.7541532442557299</v>
      </c>
      <c r="D18" t="s">
        <v>16</v>
      </c>
      <c r="E18" t="s">
        <v>55</v>
      </c>
      <c r="F18">
        <v>1.897</v>
      </c>
      <c r="G18" s="2">
        <v>353908.64</v>
      </c>
      <c r="H18">
        <v>0.92070700000000005</v>
      </c>
      <c r="I18">
        <f>(Tabla1[[#This Row],[Distance]]-61810.83)/((2.44-Tabla1[[#This Row],[Average mismatch]])*1100)</f>
        <v>489.03031977230876</v>
      </c>
    </row>
    <row r="19" spans="1:9" x14ac:dyDescent="0.25">
      <c r="A19">
        <v>18</v>
      </c>
      <c r="B19" t="s">
        <v>37</v>
      </c>
      <c r="C19" s="3">
        <v>1.75514737917865</v>
      </c>
      <c r="D19" t="s">
        <v>38</v>
      </c>
      <c r="E19" t="s">
        <v>67</v>
      </c>
      <c r="F19">
        <v>1.841</v>
      </c>
      <c r="G19" s="2">
        <v>334628.96999999997</v>
      </c>
      <c r="H19">
        <v>0.86810699999999996</v>
      </c>
      <c r="I19">
        <f>(Tabla1[[#This Row],[Distance]]-61810.83)/((2.44-Tabla1[[#This Row],[Average mismatch]])*1100)</f>
        <v>414.0509030201851</v>
      </c>
    </row>
    <row r="20" spans="1:9" x14ac:dyDescent="0.25">
      <c r="A20">
        <v>17</v>
      </c>
      <c r="B20" t="s">
        <v>35</v>
      </c>
      <c r="C20" s="3">
        <v>1.75511970406575</v>
      </c>
      <c r="D20" t="s">
        <v>36</v>
      </c>
      <c r="E20" t="s">
        <v>66</v>
      </c>
      <c r="F20">
        <v>1.859</v>
      </c>
      <c r="G20" s="2">
        <v>343097.64</v>
      </c>
      <c r="H20">
        <v>0.78561300000000001</v>
      </c>
      <c r="I20">
        <f>(Tabla1[[#This Row],[Distance]]-61810.83)/((2.44-Tabla1[[#This Row],[Average mismatch]])*1100)</f>
        <v>440.1295728368018</v>
      </c>
    </row>
    <row r="21" spans="1:9" hidden="1" x14ac:dyDescent="0.25">
      <c r="A21">
        <v>5</v>
      </c>
      <c r="B21" t="s">
        <v>11</v>
      </c>
      <c r="C21" s="3">
        <v>1.7217416663736</v>
      </c>
      <c r="D21" t="s">
        <v>12</v>
      </c>
      <c r="E21" t="s">
        <v>53</v>
      </c>
      <c r="F21">
        <v>1.9319999999999999</v>
      </c>
      <c r="G21" s="2">
        <v>309284.96999999997</v>
      </c>
      <c r="H21">
        <v>0.86438000000000004</v>
      </c>
      <c r="I21">
        <f>(Tabla1[[#This Row],[Distance]]-61810.83)/((2.44-Tabla1[[#This Row],[Average mismatch]])*1100)</f>
        <v>442.8671080887616</v>
      </c>
    </row>
    <row r="22" spans="1:9" hidden="1" x14ac:dyDescent="0.25">
      <c r="A22">
        <v>1</v>
      </c>
      <c r="B22" t="s">
        <v>0</v>
      </c>
      <c r="C22" s="3">
        <v>1.6768703762038599</v>
      </c>
      <c r="D22" t="s">
        <v>3</v>
      </c>
      <c r="E22" t="s">
        <v>45</v>
      </c>
      <c r="F22">
        <v>2.0089999999999999</v>
      </c>
      <c r="G22" s="2">
        <v>281661.45</v>
      </c>
      <c r="H22">
        <v>0.910057</v>
      </c>
      <c r="I22">
        <f>(Tabla1[[#This Row],[Distance]]-61810.83)/((2.44-Tabla1[[#This Row],[Average mismatch]])*1100)</f>
        <v>463.722041763341</v>
      </c>
    </row>
    <row r="23" spans="1:9" x14ac:dyDescent="0.25">
      <c r="C23" s="3"/>
      <c r="G23" s="2"/>
      <c r="I23" s="10">
        <f>SUM(I3,I9,I11,I15,I19,I20)/6</f>
        <v>453.34940147967933</v>
      </c>
    </row>
    <row r="24" spans="1:9" x14ac:dyDescent="0.25">
      <c r="C24" s="1"/>
      <c r="G24" s="2"/>
    </row>
    <row r="25" spans="1:9" x14ac:dyDescent="0.25">
      <c r="C25" s="1"/>
    </row>
    <row r="26" spans="1:9" x14ac:dyDescent="0.25">
      <c r="C26" s="1"/>
    </row>
    <row r="27" spans="1:9" x14ac:dyDescent="0.25">
      <c r="C27" s="1"/>
    </row>
    <row r="28" spans="1:9" x14ac:dyDescent="0.25">
      <c r="C28" s="1"/>
    </row>
    <row r="29" spans="1:9" x14ac:dyDescent="0.25">
      <c r="C29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28884-C592-489A-A034-49A00860CA4C}">
  <dimension ref="A1:D2"/>
  <sheetViews>
    <sheetView workbookViewId="0">
      <selection activeCell="D2" sqref="D2"/>
    </sheetView>
  </sheetViews>
  <sheetFormatPr baseColWidth="10" defaultRowHeight="15" x14ac:dyDescent="0.25"/>
  <cols>
    <col min="4" max="4" width="17.5703125" customWidth="1"/>
  </cols>
  <sheetData>
    <row r="1" spans="1:4" x14ac:dyDescent="0.25">
      <c r="A1" t="s">
        <v>92</v>
      </c>
      <c r="B1" t="s">
        <v>93</v>
      </c>
      <c r="C1" t="s">
        <v>94</v>
      </c>
      <c r="D1" t="s">
        <v>95</v>
      </c>
    </row>
    <row r="2" spans="1:4" x14ac:dyDescent="0.25">
      <c r="A2">
        <v>700</v>
      </c>
      <c r="B2">
        <v>400</v>
      </c>
      <c r="C2">
        <v>456.65123299999999</v>
      </c>
      <c r="D2">
        <v>1.75312556850034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D8D96-F676-4056-8F48-CADB3D12E67E}">
  <dimension ref="A1:F22"/>
  <sheetViews>
    <sheetView workbookViewId="0">
      <selection activeCell="F2" sqref="F2:F7"/>
    </sheetView>
  </sheetViews>
  <sheetFormatPr baseColWidth="10" defaultRowHeight="15" x14ac:dyDescent="0.25"/>
  <sheetData>
    <row r="1" spans="1:6" x14ac:dyDescent="0.25">
      <c r="A1" s="2">
        <v>557.60892223921905</v>
      </c>
      <c r="B1" s="2">
        <v>541.57935954778702</v>
      </c>
      <c r="C1" s="2">
        <v>337.09203036116401</v>
      </c>
    </row>
    <row r="2" spans="1:6" x14ac:dyDescent="0.25">
      <c r="A2" s="2">
        <v>331.425816083374</v>
      </c>
      <c r="B2" s="2">
        <v>338.80226374313702</v>
      </c>
      <c r="C2" s="2">
        <v>202.15800030408499</v>
      </c>
      <c r="F2" t="s">
        <v>71</v>
      </c>
    </row>
    <row r="3" spans="1:6" x14ac:dyDescent="0.25">
      <c r="A3" s="2">
        <v>897.92480536037397</v>
      </c>
      <c r="B3" s="2">
        <v>868.86267980329797</v>
      </c>
      <c r="C3" s="2">
        <v>556.60101145924295</v>
      </c>
      <c r="F3" t="s">
        <v>72</v>
      </c>
    </row>
    <row r="4" spans="1:6" x14ac:dyDescent="0.25">
      <c r="A4" s="2">
        <v>517.24940226674698</v>
      </c>
      <c r="B4" s="2">
        <v>497.189182435075</v>
      </c>
      <c r="C4" s="2">
        <v>311.12127208326598</v>
      </c>
      <c r="F4" t="s">
        <v>73</v>
      </c>
    </row>
    <row r="5" spans="1:6" x14ac:dyDescent="0.25">
      <c r="A5" s="2">
        <v>770.74104978564003</v>
      </c>
      <c r="B5" s="2">
        <v>809.62104705074</v>
      </c>
      <c r="C5" s="2">
        <v>475.19358578124701</v>
      </c>
      <c r="F5" t="s">
        <v>74</v>
      </c>
    </row>
    <row r="6" spans="1:6" x14ac:dyDescent="0.25">
      <c r="A6" s="2">
        <v>977.77391908445202</v>
      </c>
      <c r="B6" s="2">
        <v>878.81385674066598</v>
      </c>
      <c r="C6" s="2">
        <v>620.49253092559695</v>
      </c>
      <c r="F6" t="s">
        <v>75</v>
      </c>
    </row>
    <row r="7" spans="1:6" x14ac:dyDescent="0.25">
      <c r="A7" s="2">
        <v>266.03956762823998</v>
      </c>
      <c r="B7" s="2">
        <v>222.06318856084499</v>
      </c>
      <c r="C7" s="2">
        <v>154.504401009573</v>
      </c>
      <c r="F7" t="s">
        <v>76</v>
      </c>
    </row>
    <row r="8" spans="1:6" x14ac:dyDescent="0.25">
      <c r="A8" s="2">
        <v>729.36971500384698</v>
      </c>
      <c r="B8" s="2">
        <v>792.13981954496296</v>
      </c>
      <c r="C8" s="2">
        <v>475.246006693943</v>
      </c>
      <c r="F8" t="s">
        <v>77</v>
      </c>
    </row>
    <row r="9" spans="1:6" x14ac:dyDescent="0.25">
      <c r="A9" s="2">
        <v>699.07353678304105</v>
      </c>
      <c r="B9" s="2">
        <v>576.10273919123301</v>
      </c>
      <c r="C9" s="2">
        <v>420.02540157191902</v>
      </c>
      <c r="F9" t="s">
        <v>78</v>
      </c>
    </row>
    <row r="10" spans="1:6" x14ac:dyDescent="0.25">
      <c r="A10" s="2">
        <v>435.36119934621098</v>
      </c>
      <c r="B10" s="2">
        <v>428.61916649812503</v>
      </c>
      <c r="C10" s="2">
        <v>247.026470709271</v>
      </c>
      <c r="F10" t="s">
        <v>79</v>
      </c>
    </row>
    <row r="11" spans="1:6" x14ac:dyDescent="0.25">
      <c r="A11" s="2">
        <v>515.43947604631603</v>
      </c>
      <c r="B11" s="2">
        <v>462.46795198780598</v>
      </c>
      <c r="C11" s="2">
        <v>342.75890666327302</v>
      </c>
      <c r="F11" t="s">
        <v>80</v>
      </c>
    </row>
    <row r="12" spans="1:6" x14ac:dyDescent="0.25">
      <c r="A12" s="2">
        <v>293.83623718630503</v>
      </c>
      <c r="B12" s="2">
        <v>235.79828647655299</v>
      </c>
      <c r="C12" s="2">
        <v>186.50306427744701</v>
      </c>
      <c r="F12" t="s">
        <v>81</v>
      </c>
    </row>
    <row r="13" spans="1:6" x14ac:dyDescent="0.25">
      <c r="A13" s="2">
        <v>220.04756753989901</v>
      </c>
      <c r="B13" s="2">
        <v>296.896365832637</v>
      </c>
      <c r="C13" s="2">
        <v>145.776279404364</v>
      </c>
      <c r="F13" t="s">
        <v>82</v>
      </c>
    </row>
    <row r="14" spans="1:6" x14ac:dyDescent="0.25">
      <c r="A14" s="2">
        <v>298.93217590804602</v>
      </c>
      <c r="B14" s="2">
        <v>213.34490369371099</v>
      </c>
      <c r="C14" s="2">
        <v>175.782973088494</v>
      </c>
      <c r="F14" t="s">
        <v>83</v>
      </c>
    </row>
    <row r="15" spans="1:6" x14ac:dyDescent="0.25">
      <c r="A15" s="2">
        <v>240.83840499139399</v>
      </c>
      <c r="B15" s="2">
        <v>152.08000532269699</v>
      </c>
      <c r="C15" s="2">
        <v>144.89035668935301</v>
      </c>
      <c r="F15" t="s">
        <v>84</v>
      </c>
    </row>
    <row r="16" spans="1:6" x14ac:dyDescent="0.25">
      <c r="A16" s="2">
        <v>279.68870996231402</v>
      </c>
      <c r="B16" s="2">
        <v>385.33666898484302</v>
      </c>
      <c r="C16" s="2">
        <v>143.511001195082</v>
      </c>
      <c r="F16" t="s">
        <v>85</v>
      </c>
    </row>
    <row r="17" spans="1:6" x14ac:dyDescent="0.25">
      <c r="A17" s="2">
        <v>167.19152434448901</v>
      </c>
      <c r="B17" s="2">
        <v>5.7554687867826297</v>
      </c>
      <c r="C17" s="2">
        <v>118.521577676847</v>
      </c>
      <c r="F17" t="s">
        <v>86</v>
      </c>
    </row>
    <row r="18" spans="1:6" x14ac:dyDescent="0.25">
      <c r="A18" s="2">
        <v>153.40962050802</v>
      </c>
      <c r="B18" s="2">
        <v>431.97026123166103</v>
      </c>
      <c r="C18" s="2">
        <v>263.480578718993</v>
      </c>
      <c r="F18" t="s">
        <v>87</v>
      </c>
    </row>
    <row r="19" spans="1:6" x14ac:dyDescent="0.25">
      <c r="A19" s="2">
        <v>720.67345194828795</v>
      </c>
      <c r="B19" s="2">
        <v>282.69273576346399</v>
      </c>
      <c r="C19" s="2">
        <v>210.89759072832501</v>
      </c>
      <c r="F19" t="s">
        <v>88</v>
      </c>
    </row>
    <row r="20" spans="1:6" x14ac:dyDescent="0.25">
      <c r="A20" s="2">
        <v>331.66323419131902</v>
      </c>
      <c r="B20" s="2">
        <v>506.78312259842801</v>
      </c>
      <c r="C20" s="2">
        <v>86.150513412097297</v>
      </c>
      <c r="F20" t="s">
        <v>89</v>
      </c>
    </row>
    <row r="21" spans="1:6" x14ac:dyDescent="0.25">
      <c r="A21" s="2">
        <v>50.4297705985242</v>
      </c>
      <c r="B21" s="2">
        <v>533.13843736879198</v>
      </c>
      <c r="C21" s="2">
        <v>239.824128891182</v>
      </c>
      <c r="F21" t="s">
        <v>90</v>
      </c>
    </row>
    <row r="22" spans="1:6" x14ac:dyDescent="0.25">
      <c r="F2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SA_V2</vt:lpstr>
      <vt:lpstr>SA_V3</vt:lpstr>
      <vt:lpstr>Sa V1</vt:lpstr>
      <vt:lpstr>Evaluating the plane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Laguna</dc:creator>
  <cp:lastModifiedBy>Andrea Laguna</cp:lastModifiedBy>
  <dcterms:created xsi:type="dcterms:W3CDTF">2026-02-25T12:59:05Z</dcterms:created>
  <dcterms:modified xsi:type="dcterms:W3CDTF">2026-03-09T17:28:36Z</dcterms:modified>
</cp:coreProperties>
</file>